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Gincana" sheetId="1" state="visible" r:id="rId1"/>
    <sheet xmlns:r="http://schemas.openxmlformats.org/officeDocument/2006/relationships" name="Planilha2" sheetId="2" state="visible" r:id="rId2"/>
    <sheet xmlns:r="http://schemas.openxmlformats.org/officeDocument/2006/relationships" name="Planilha3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#\º"/>
  </numFmts>
  <fonts count="7">
    <font>
      <name val="Arial"/>
      <charset val="1"/>
      <color rgb="FF000000"/>
      <sz val="10"/>
    </font>
    <font>
      <name val="Arial Narrow"/>
      <charset val="1"/>
      <family val="2"/>
      <color rgb="FF000000"/>
      <sz val="10"/>
    </font>
    <font>
      <name val="Arial Narrow"/>
      <charset val="1"/>
      <color rgb="FF000000"/>
      <sz val="12"/>
    </font>
    <font>
      <name val="Arial Narrow"/>
      <charset val="1"/>
      <family val="2"/>
      <b val="1"/>
      <color rgb="FF000000"/>
      <sz val="10"/>
    </font>
    <font>
      <name val="Arial Narrow"/>
      <charset val="1"/>
      <family val="2"/>
      <color rgb="FFFFFFFF"/>
      <sz val="10"/>
    </font>
    <font>
      <name val="Arial Narrow"/>
      <charset val="1"/>
      <family val="2"/>
      <color rgb="FF81160D"/>
      <sz val="10"/>
    </font>
    <font>
      <name val="Roboto"/>
      <color rgb="FF434343"/>
      <sz val="10"/>
    </font>
  </fonts>
  <fills count="8">
    <fill>
      <patternFill/>
    </fill>
    <fill>
      <patternFill patternType="gray125"/>
    </fill>
    <fill>
      <patternFill patternType="solid">
        <fgColor rgb="FFBFBFBF"/>
        <bgColor rgb="FFD8D8D8"/>
      </patternFill>
    </fill>
    <fill>
      <patternFill patternType="solid">
        <fgColor rgb="FFFFFFFF"/>
        <bgColor rgb="FFFFFFCC"/>
      </patternFill>
    </fill>
    <fill>
      <patternFill patternType="solid">
        <fgColor rgb="FFD8D8D8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rgb="FFA5A5A5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A5A5A5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A5A5A5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rgb="FFA5A5A5"/>
      </right>
      <top/>
      <bottom style="medium">
        <color auto="1"/>
      </bottom>
      <diagonal/>
    </border>
    <border>
      <left style="thin">
        <color rgb="FFA5A5A5"/>
      </left>
      <right/>
      <top/>
      <bottom style="medium">
        <color auto="1"/>
      </bottom>
      <diagonal/>
    </border>
    <border>
      <left style="thin">
        <color rgb="FFA5A5A5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A5A5A5"/>
      </right>
      <top/>
      <bottom style="medium">
        <color auto="1"/>
      </bottom>
      <diagonal/>
    </border>
    <border>
      <left/>
      <right style="thin">
        <color rgb="FFA5A5A5"/>
      </right>
      <top style="medium">
        <color auto="1"/>
      </top>
      <bottom/>
      <diagonal/>
    </border>
    <border>
      <left style="medium">
        <color auto="1"/>
      </left>
      <right style="thin">
        <color rgb="FFA5A5A5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A5A5A5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BFBFBF"/>
      </right>
      <top style="medium">
        <color auto="1"/>
      </top>
      <bottom style="thin">
        <color rgb="FFBFBFBF"/>
      </bottom>
      <diagonal/>
    </border>
    <border>
      <left style="medium">
        <color auto="1"/>
      </left>
      <right style="thin">
        <color rgb="FFA5A5A5"/>
      </right>
      <top style="medium">
        <color auto="1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medium">
        <color auto="1"/>
      </top>
      <bottom style="thin">
        <color rgb="FFA5A5A5"/>
      </bottom>
      <diagonal/>
    </border>
    <border>
      <left style="thin">
        <color rgb="FFBFBFBF"/>
      </left>
      <right style="medium">
        <color auto="1"/>
      </right>
      <top style="medium">
        <color auto="1"/>
      </top>
      <bottom style="thin">
        <color rgb="FFBFBFBF"/>
      </bottom>
      <diagonal/>
    </border>
    <border>
      <left style="medium">
        <color auto="1"/>
      </left>
      <right style="thin">
        <color rgb="FFBFBFBF"/>
      </right>
      <top style="medium">
        <color auto="1"/>
      </top>
      <bottom style="thin">
        <color rgb="FFA5A5A5"/>
      </bottom>
      <diagonal/>
    </border>
    <border>
      <left style="thin">
        <color rgb="FFA5A5A5"/>
      </left>
      <right style="medium">
        <color auto="1"/>
      </right>
      <top style="medium">
        <color auto="1"/>
      </top>
      <bottom style="thin">
        <color rgb="FFA5A5A5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BFBFBF"/>
      </bottom>
      <diagonal/>
    </border>
    <border>
      <left/>
      <right style="medium">
        <color auto="1"/>
      </right>
      <top style="medium">
        <color auto="1"/>
      </top>
      <bottom style="thin">
        <color rgb="FFA5A5A5"/>
      </bottom>
      <diagonal/>
    </border>
    <border>
      <left style="medium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BFBFBF"/>
      </left>
      <right style="medium">
        <color auto="1"/>
      </right>
      <top/>
      <bottom style="thin">
        <color rgb="FFBFBFBF"/>
      </bottom>
      <diagonal/>
    </border>
    <border>
      <left style="medium">
        <color auto="1"/>
      </left>
      <right style="thin">
        <color rgb="FFBFBFBF"/>
      </right>
      <top/>
      <bottom style="thin">
        <color rgb="FFBFBFBF"/>
      </bottom>
      <diagonal/>
    </border>
    <border>
      <left style="medium">
        <color auto="1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medium">
        <color auto="1"/>
      </right>
      <top style="thin">
        <color rgb="FFA5A5A5"/>
      </top>
      <bottom style="thin">
        <color rgb="FFA5A5A5"/>
      </bottom>
      <diagonal/>
    </border>
    <border>
      <left style="medium">
        <color auto="1"/>
      </left>
      <right style="medium">
        <color auto="1"/>
      </right>
      <top/>
      <bottom style="thin">
        <color rgb="FFBFBFBF"/>
      </bottom>
      <diagonal/>
    </border>
    <border>
      <left style="medium">
        <color auto="1"/>
      </left>
      <right style="medium">
        <color auto="1"/>
      </right>
      <top/>
      <bottom style="thin">
        <color rgb="FFA5A5A5"/>
      </bottom>
      <diagonal/>
    </border>
    <border>
      <left/>
      <right style="medium">
        <color auto="1"/>
      </right>
      <top/>
      <bottom style="thin">
        <color rgb="FFA5A5A5"/>
      </bottom>
      <diagonal/>
    </border>
    <border>
      <left style="medium">
        <color auto="1"/>
      </left>
      <right style="medium">
        <color auto="1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thin">
        <color rgb="FFA5A5A5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BFBFBF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BFBFBF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rgb="FFBFBFBF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rgb="FFBFBFBF"/>
      </bottom>
      <diagonal/>
    </border>
    <border>
      <left/>
      <right style="medium">
        <color auto="1"/>
      </right>
      <top/>
      <bottom style="thin">
        <color rgb="FFBFBFBF"/>
      </bottom>
      <diagonal/>
    </border>
    <border>
      <left style="thin">
        <color rgb="FFA5A5A5"/>
      </left>
      <right/>
      <top/>
      <bottom/>
      <diagonal/>
    </border>
    <border>
      <left style="medium">
        <color auto="1"/>
      </left>
      <right style="thin">
        <color rgb="FFBFBFBF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A5A5A5"/>
      </left>
      <right/>
      <top style="medium">
        <color auto="1"/>
      </top>
      <bottom style="medium">
        <color auto="1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/>
      <bottom style="medium">
        <color auto="1"/>
      </bottom>
      <diagonal/>
    </border>
    <border>
      <left/>
      <right/>
      <top/>
      <bottom style="thin">
        <color rgb="FFA5A5A5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rgb="FFBFBFBF"/>
      </right>
      <top/>
      <bottom style="thin">
        <color rgb="FFA5A5A5"/>
      </bottom>
      <diagonal/>
    </border>
    <border>
      <left style="medium">
        <color auto="1"/>
      </left>
      <right style="thin">
        <color rgb="FFBFBFB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 style="thin">
        <color rgb="FFA5A5A5"/>
      </bottom>
      <diagonal/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3" fillId="2" borderId="7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 wrapText="1"/>
    </xf>
    <xf numFmtId="0" fontId="1" fillId="2" borderId="13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3" fillId="2" borderId="15" applyAlignment="1" pivotButton="0" quotePrefix="0" xfId="0">
      <alignment vertical="center" wrapText="1"/>
    </xf>
    <xf numFmtId="0" fontId="1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1" fontId="1" fillId="3" borderId="21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3" fontId="5" fillId="0" borderId="23" applyAlignment="1" pivotButton="0" quotePrefix="0" xfId="0">
      <alignment vertical="center"/>
    </xf>
    <xf numFmtId="3" fontId="1" fillId="0" borderId="4" applyAlignment="1" pivotButton="0" quotePrefix="0" xfId="0">
      <alignment horizontal="center" vertical="center"/>
    </xf>
    <xf numFmtId="164" fontId="1" fillId="0" borderId="24" applyAlignment="1" pivotButton="0" quotePrefix="0" xfId="0">
      <alignment horizontal="center" vertical="center"/>
    </xf>
    <xf numFmtId="0" fontId="1" fillId="4" borderId="26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1" fontId="1" fillId="4" borderId="30" applyAlignment="1" pivotButton="0" quotePrefix="0" xfId="0">
      <alignment horizontal="center" vertical="center"/>
    </xf>
    <xf numFmtId="0" fontId="1" fillId="4" borderId="31" applyAlignment="1" pivotButton="0" quotePrefix="0" xfId="0">
      <alignment horizontal="center" vertical="center"/>
    </xf>
    <xf numFmtId="0" fontId="1" fillId="4" borderId="32" applyAlignment="1" pivotButton="0" quotePrefix="0" xfId="0">
      <alignment horizontal="center" vertical="center"/>
    </xf>
    <xf numFmtId="3" fontId="5" fillId="4" borderId="33" applyAlignment="1" pivotButton="0" quotePrefix="0" xfId="0">
      <alignment vertical="center"/>
    </xf>
    <xf numFmtId="3" fontId="1" fillId="4" borderId="34" applyAlignment="1" pivotButton="0" quotePrefix="0" xfId="0">
      <alignment horizontal="center" vertical="center"/>
    </xf>
    <xf numFmtId="164" fontId="1" fillId="4" borderId="35" applyAlignment="1" pivotButton="0" quotePrefix="0" xfId="0">
      <alignment horizontal="center" vertical="center"/>
    </xf>
    <xf numFmtId="0" fontId="1" fillId="0" borderId="25" applyAlignment="1" applyProtection="1" pivotButton="0" quotePrefix="0" xfId="0">
      <alignment horizontal="left" vertical="center"/>
      <protection locked="0" hidden="0"/>
    </xf>
    <xf numFmtId="0" fontId="1" fillId="0" borderId="30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1" fillId="4" borderId="25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1" fontId="1" fillId="0" borderId="30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3" fontId="5" fillId="0" borderId="36" applyAlignment="1" pivotButton="0" quotePrefix="0" xfId="0">
      <alignment vertical="center"/>
    </xf>
    <xf numFmtId="3" fontId="1" fillId="0" borderId="34" applyAlignment="1" pivotButton="0" quotePrefix="0" xfId="0">
      <alignment horizontal="center" vertical="center"/>
    </xf>
    <xf numFmtId="164" fontId="1" fillId="0" borderId="35" applyAlignment="1" pivotButton="0" quotePrefix="0" xfId="0">
      <alignment horizontal="center" vertical="center"/>
    </xf>
    <xf numFmtId="3" fontId="1" fillId="0" borderId="0" pivotButton="0" quotePrefix="0" xfId="0"/>
    <xf numFmtId="3" fontId="1" fillId="4" borderId="34" applyAlignment="1" pivotButton="0" quotePrefix="0" xfId="0">
      <alignment horizontal="left" vertical="center"/>
    </xf>
    <xf numFmtId="0" fontId="1" fillId="4" borderId="37" applyAlignment="1" pivotButton="0" quotePrefix="0" xfId="0">
      <alignment horizontal="center" vertical="center"/>
    </xf>
    <xf numFmtId="3" fontId="5" fillId="4" borderId="38" applyAlignment="1" pivotButton="0" quotePrefix="0" xfId="0">
      <alignment vertical="center"/>
    </xf>
    <xf numFmtId="3" fontId="1" fillId="4" borderId="38" applyAlignment="1" pivotButton="0" quotePrefix="0" xfId="0">
      <alignment horizontal="center" vertical="center"/>
    </xf>
    <xf numFmtId="164" fontId="1" fillId="4" borderId="3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9" fontId="1" fillId="2" borderId="5" applyAlignment="1" pivotButton="0" quotePrefix="0" xfId="0">
      <alignment horizontal="center" vertical="center"/>
    </xf>
    <xf numFmtId="0" fontId="1" fillId="2" borderId="40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1" fillId="2" borderId="42" applyAlignment="1" pivotButton="0" quotePrefix="0" xfId="0">
      <alignment horizontal="center" vertical="center"/>
    </xf>
    <xf numFmtId="0" fontId="1" fillId="5" borderId="0" pivotButton="0" quotePrefix="0" xfId="0"/>
    <xf numFmtId="0" fontId="1" fillId="5" borderId="0" applyAlignment="1" pivotButton="0" quotePrefix="0" xfId="0">
      <alignment horizontal="center"/>
    </xf>
    <xf numFmtId="0" fontId="4" fillId="2" borderId="43" applyAlignment="1" pivotButton="0" quotePrefix="0" xfId="0">
      <alignment horizontal="center" vertical="center"/>
    </xf>
    <xf numFmtId="0" fontId="2" fillId="0" borderId="43" applyAlignment="1" pivotButton="0" quotePrefix="0" xfId="0">
      <alignment horizontal="center" vertical="center" wrapText="1"/>
    </xf>
    <xf numFmtId="0" fontId="2" fillId="0" borderId="44" applyAlignment="1" pivotButton="0" quotePrefix="0" xfId="0">
      <alignment horizontal="center" vertical="center"/>
    </xf>
    <xf numFmtId="0" fontId="2" fillId="4" borderId="44" applyAlignment="1" pivotButton="0" quotePrefix="0" xfId="0">
      <alignment horizontal="center" vertical="center"/>
    </xf>
    <xf numFmtId="0" fontId="2" fillId="0" borderId="45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center" vertical="center"/>
    </xf>
    <xf numFmtId="0" fontId="2" fillId="4" borderId="46" applyAlignment="1" pivotButton="0" quotePrefix="0" xfId="0">
      <alignment horizontal="center" vertical="center"/>
    </xf>
    <xf numFmtId="0" fontId="2" fillId="0" borderId="47" applyAlignment="1" pivotButton="0" quotePrefix="0" xfId="0">
      <alignment horizontal="center" vertical="center"/>
    </xf>
    <xf numFmtId="0" fontId="2" fillId="4" borderId="47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48" applyAlignment="1" pivotButton="0" quotePrefix="0" xfId="0">
      <alignment horizontal="center" vertical="center"/>
    </xf>
    <xf numFmtId="0" fontId="1" fillId="2" borderId="39" applyAlignment="1" pivotButton="0" quotePrefix="0" xfId="0">
      <alignment horizontal="center" vertical="center"/>
    </xf>
    <xf numFmtId="0" fontId="1" fillId="2" borderId="4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0" borderId="52" applyAlignment="1" pivotButton="0" quotePrefix="0" xfId="0">
      <alignment horizontal="center" vertical="center"/>
    </xf>
    <xf numFmtId="0" fontId="2" fillId="4" borderId="52" applyAlignment="1" pivotButton="0" quotePrefix="0" xfId="0">
      <alignment horizontal="center" vertical="center"/>
    </xf>
    <xf numFmtId="0" fontId="2" fillId="0" borderId="53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/>
    </xf>
    <xf numFmtId="0" fontId="2" fillId="4" borderId="54" applyAlignment="1" pivotButton="0" quotePrefix="0" xfId="0">
      <alignment horizontal="center" vertical="center"/>
    </xf>
    <xf numFmtId="0" fontId="2" fillId="4" borderId="55" applyAlignment="1" pivotButton="0" quotePrefix="0" xfId="0">
      <alignment horizontal="center" vertical="center"/>
    </xf>
    <xf numFmtId="1" fontId="2" fillId="3" borderId="56" applyAlignment="1" pivotButton="0" quotePrefix="0" xfId="0">
      <alignment horizontal="center" vertical="center"/>
    </xf>
    <xf numFmtId="1" fontId="2" fillId="4" borderId="56" applyAlignment="1" pivotButton="0" quotePrefix="0" xfId="0">
      <alignment horizontal="center" vertical="center"/>
    </xf>
    <xf numFmtId="0" fontId="2" fillId="4" borderId="50" applyAlignment="1" pivotButton="0" quotePrefix="0" xfId="0">
      <alignment horizontal="center" vertical="center"/>
    </xf>
    <xf numFmtId="0" fontId="2" fillId="4" borderId="51" applyAlignment="1" pivotButton="0" quotePrefix="0" xfId="0">
      <alignment horizontal="center" vertical="center"/>
    </xf>
    <xf numFmtId="0" fontId="2" fillId="0" borderId="40" applyAlignment="1" pivotButton="0" quotePrefix="0" xfId="0">
      <alignment horizontal="center" vertical="center" wrapText="1"/>
    </xf>
    <xf numFmtId="0" fontId="2" fillId="4" borderId="43" applyAlignment="1" pivotButton="0" quotePrefix="0" xfId="0">
      <alignment horizontal="center" vertical="center"/>
    </xf>
    <xf numFmtId="0" fontId="2" fillId="0" borderId="58" applyAlignment="1" pivotButton="0" quotePrefix="0" xfId="0">
      <alignment horizontal="center" vertical="center"/>
    </xf>
    <xf numFmtId="0" fontId="2" fillId="4" borderId="58" applyAlignment="1" pivotButton="0" quotePrefix="0" xfId="0">
      <alignment horizontal="center" vertical="center"/>
    </xf>
    <xf numFmtId="0" fontId="2" fillId="4" borderId="57" applyAlignment="1" pivotButton="0" quotePrefix="0" xfId="0">
      <alignment horizontal="center" vertical="center"/>
    </xf>
    <xf numFmtId="0" fontId="1" fillId="2" borderId="38" applyAlignment="1" pivotButton="0" quotePrefix="0" xfId="0">
      <alignment horizontal="center" vertical="center"/>
    </xf>
    <xf numFmtId="1" fontId="2" fillId="3" borderId="59" applyAlignment="1" pivotButton="0" quotePrefix="0" xfId="0">
      <alignment horizontal="center" vertical="center"/>
    </xf>
    <xf numFmtId="0" fontId="2" fillId="0" borderId="39" applyAlignment="1" pivotButton="0" quotePrefix="0" xfId="0">
      <alignment horizontal="center" vertical="center" wrapText="1"/>
    </xf>
    <xf numFmtId="0" fontId="2" fillId="0" borderId="38" applyAlignment="1" pivotButton="0" quotePrefix="0" xfId="0">
      <alignment horizontal="center" vertical="center" wrapText="1"/>
    </xf>
    <xf numFmtId="0" fontId="2" fillId="0" borderId="60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6" fillId="6" borderId="61" applyAlignment="1" pivotButton="0" quotePrefix="0" xfId="0">
      <alignment vertical="center" wrapText="1"/>
    </xf>
    <xf numFmtId="0" fontId="6" fillId="7" borderId="62" applyAlignment="1" pivotButton="0" quotePrefix="0" xfId="0">
      <alignment vertical="center" wrapText="1"/>
    </xf>
    <xf numFmtId="0" fontId="6" fillId="6" borderId="63" applyAlignment="1" pivotButton="0" quotePrefix="0" xfId="0">
      <alignment vertical="center" wrapText="1"/>
    </xf>
    <xf numFmtId="0" fontId="6" fillId="6" borderId="64" applyAlignment="1" pivotButton="0" quotePrefix="0" xfId="0">
      <alignment vertical="center" wrapText="1"/>
    </xf>
    <xf numFmtId="0" fontId="0" fillId="0" borderId="65" pivotButton="0" quotePrefix="0" xfId="0"/>
    <xf numFmtId="0" fontId="0" fillId="0" borderId="15" pivotButton="0" quotePrefix="0" xfId="0"/>
    <xf numFmtId="0" fontId="0" fillId="0" borderId="67" pivotButton="0" quotePrefix="0" xfId="0"/>
    <xf numFmtId="0" fontId="0" fillId="0" borderId="24" pivotButton="0" quotePrefix="0" xfId="0"/>
    <xf numFmtId="0" fontId="0" fillId="0" borderId="45" pivotButton="0" quotePrefix="0" xfId="0"/>
    <xf numFmtId="0" fontId="0" fillId="0" borderId="43" pivotButton="0" quotePrefix="0" xfId="0"/>
    <xf numFmtId="0" fontId="0" fillId="0" borderId="39" pivotButton="0" quotePrefix="0" xfId="0"/>
    <xf numFmtId="0" fontId="0" fillId="0" borderId="8" pivotButton="0" quotePrefix="0" xfId="0"/>
    <xf numFmtId="0" fontId="0" fillId="0" borderId="66" pivotButton="0" quotePrefix="0" xfId="0"/>
    <xf numFmtId="0" fontId="0" fillId="0" borderId="5" pivotButton="0" quotePrefix="0" xfId="0"/>
    <xf numFmtId="0" fontId="0" fillId="0" borderId="56" pivotButton="0" quotePrefix="0" xfId="0"/>
  </cellXfs>
  <cellStyles count="1">
    <cellStyle name="Normal" xfId="0" builtinId="0"/>
  </cellStyles>
  <dxfs count="4">
    <dxf>
      <font>
        <b val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1160D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"/>
  <sheetViews>
    <sheetView tabSelected="1" zoomScale="140" zoomScaleNormal="140" workbookViewId="0">
      <pane xSplit="1" topLeftCell="B1" activePane="topRight" state="frozen"/>
      <selection pane="topRight" activeCell="E8" sqref="E8"/>
    </sheetView>
  </sheetViews>
  <sheetFormatPr baseColWidth="8" defaultColWidth="9.140625" defaultRowHeight="12.75"/>
  <cols>
    <col width="28.140625" customWidth="1" style="6" min="1" max="1"/>
    <col width="6.140625" customWidth="1" style="6" min="2" max="2"/>
    <col width="6.42578125" customWidth="1" style="6" min="3" max="3"/>
    <col width="7.85546875" customWidth="1" style="6" min="4" max="4"/>
    <col width="8.42578125" customWidth="1" style="6" min="5" max="5"/>
    <col width="7.28515625" customWidth="1" style="6" min="6" max="6"/>
    <col width="9.85546875" customWidth="1" style="6" min="7" max="7"/>
    <col width="9" customWidth="1" style="6" min="8" max="8"/>
    <col width="9.140625" customWidth="1" style="6" min="9" max="9"/>
    <col width="6.85546875" customWidth="1" style="6" min="10" max="12"/>
    <col width="9.7109375" customWidth="1" style="6" min="13" max="13"/>
    <col width="6.85546875" customWidth="1" style="6" min="14" max="19"/>
    <col width="8.5703125" customWidth="1" style="6" min="20" max="20"/>
    <col width="7" customWidth="1" style="6" min="21" max="24"/>
    <col width="34" customWidth="1" style="6" min="25" max="25"/>
    <col width="8.140625" customWidth="1" style="6" min="26" max="26"/>
    <col width="10.140625" customWidth="1" style="6" min="27" max="27"/>
    <col width="9.140625" customWidth="1" style="6" min="28" max="16384"/>
  </cols>
  <sheetData>
    <row r="1" ht="12.75" customHeight="1" thickBot="1">
      <c r="A1" s="7" t="n"/>
      <c r="B1" s="8" t="inlineStr">
        <is>
          <t>PARTICIPAÇÃO</t>
        </is>
      </c>
      <c r="C1" s="115" t="n"/>
      <c r="D1" s="115" t="n"/>
      <c r="E1" s="115" t="n"/>
      <c r="F1" s="115" t="n"/>
      <c r="G1" s="115" t="n"/>
      <c r="H1" s="124" t="n"/>
      <c r="I1" s="115" t="n"/>
      <c r="J1" s="118" t="n"/>
      <c r="K1" s="117" t="n"/>
      <c r="L1" s="118" t="n"/>
      <c r="M1" s="117" t="n"/>
      <c r="N1" s="117" t="n"/>
      <c r="O1" s="117" t="n"/>
      <c r="P1" s="118" t="n"/>
      <c r="Q1" s="117" t="n"/>
      <c r="R1" s="118" t="n"/>
      <c r="S1" s="117" t="n"/>
      <c r="T1" s="117" t="n"/>
      <c r="U1" s="117" t="n"/>
      <c r="V1" s="117" t="n"/>
      <c r="W1" s="115" t="n"/>
      <c r="X1" s="115" t="n"/>
      <c r="Y1" s="115" t="n"/>
      <c r="Z1" s="115" t="n"/>
      <c r="AA1" s="115" t="n"/>
      <c r="AB1" s="116" t="n"/>
    </row>
    <row r="2" ht="13.5" customHeight="1" thickBot="1">
      <c r="A2" s="10" t="n"/>
      <c r="B2" s="119" t="n"/>
      <c r="C2" s="120" t="n"/>
      <c r="D2" s="120" t="n"/>
      <c r="E2" s="120" t="n"/>
      <c r="F2" s="120" t="n"/>
      <c r="G2" s="120" t="n"/>
      <c r="H2" s="120" t="n"/>
      <c r="I2" s="120" t="n"/>
      <c r="J2" s="121" t="n"/>
      <c r="K2" s="11" t="n">
        <v>1</v>
      </c>
      <c r="L2" s="84" t="n">
        <v>2</v>
      </c>
      <c r="M2" s="85" t="n">
        <v>3</v>
      </c>
      <c r="N2" s="11" t="n">
        <v>4</v>
      </c>
      <c r="O2" s="75" t="n">
        <v>5</v>
      </c>
      <c r="P2" s="13" t="n">
        <v>6</v>
      </c>
      <c r="Q2" s="14" t="n">
        <v>7</v>
      </c>
      <c r="R2" s="75" t="n">
        <v>8</v>
      </c>
      <c r="S2" s="12" t="n">
        <v>9</v>
      </c>
      <c r="T2" s="11" t="n">
        <v>10</v>
      </c>
      <c r="U2" s="75" t="n">
        <v>11</v>
      </c>
      <c r="V2" s="125" t="n"/>
      <c r="W2" s="125" t="n"/>
      <c r="X2" s="125" t="n"/>
      <c r="Y2" s="125" t="n"/>
      <c r="Z2" s="125" t="n"/>
      <c r="AA2" s="125" t="n"/>
      <c r="AB2" s="123" t="n"/>
    </row>
    <row r="3" ht="39" customHeight="1" thickBot="1">
      <c r="A3" s="8" t="inlineStr">
        <is>
          <t>Embaixadas</t>
        </is>
      </c>
      <c r="B3" s="15" t="inlineStr">
        <is>
          <t>OMR</t>
        </is>
      </c>
      <c r="C3" t="inlineStr">
        <is>
          <t>Pont. evento</t>
        </is>
      </c>
      <c r="D3" s="16" t="inlineStr">
        <is>
          <t>M.R.</t>
        </is>
      </c>
      <c r="E3" s="16" t="inlineStr">
        <is>
          <t>MR c/ camisa</t>
        </is>
      </c>
      <c r="F3" s="16" t="inlineStr">
        <is>
          <t>MR c/ bíblia</t>
        </is>
      </c>
      <c r="G3" s="16" t="inlineStr">
        <is>
          <t>VISIT</t>
        </is>
      </c>
      <c r="H3" s="16" t="inlineStr">
        <is>
          <t>Animação</t>
        </is>
      </c>
      <c r="I3" s="17" t="inlineStr">
        <is>
          <t>Mau Comportamento</t>
        </is>
      </c>
      <c r="J3" s="18" t="inlineStr">
        <is>
          <t>Check-in após 14h</t>
        </is>
      </c>
      <c r="K3" s="79" t="inlineStr">
        <is>
          <t>Jun</t>
        </is>
      </c>
      <c r="L3" s="76" t="inlineStr">
        <is>
          <t>Adl</t>
        </is>
      </c>
      <c r="M3" s="107" t="inlineStr">
        <is>
          <t>Juv</t>
        </is>
      </c>
      <c r="N3" s="21" t="inlineStr">
        <is>
          <t>Jun</t>
        </is>
      </c>
      <c r="O3" s="92" t="inlineStr">
        <is>
          <t>Adl</t>
        </is>
      </c>
      <c r="P3" s="21" t="inlineStr">
        <is>
          <t>Juv</t>
        </is>
      </c>
      <c r="Q3" s="19" t="inlineStr">
        <is>
          <t>Jun</t>
        </is>
      </c>
      <c r="R3" s="92" t="inlineStr">
        <is>
          <t>Adl</t>
        </is>
      </c>
      <c r="S3" s="100" t="inlineStr">
        <is>
          <t>Juv</t>
        </is>
      </c>
      <c r="T3" s="21" t="inlineStr">
        <is>
          <t>Jun</t>
        </is>
      </c>
      <c r="U3" s="20" t="inlineStr">
        <is>
          <t>Adl</t>
        </is>
      </c>
      <c r="V3" s="108" t="inlineStr">
        <is>
          <t>Juv</t>
        </is>
      </c>
      <c r="W3" s="22" t="inlineStr">
        <is>
          <t>Particip.</t>
        </is>
      </c>
      <c r="X3" s="23" t="inlineStr">
        <is>
          <t>Puniç.</t>
        </is>
      </c>
      <c r="Y3" s="24" t="inlineStr">
        <is>
          <t>Gincana Bíblica</t>
        </is>
      </c>
      <c r="Z3" s="25" t="inlineStr">
        <is>
          <t>Embaixadas</t>
        </is>
      </c>
      <c r="AA3" s="25" t="inlineStr">
        <is>
          <t>TOTAL</t>
        </is>
      </c>
      <c r="AB3" s="26" t="inlineStr">
        <is>
          <t>Posição</t>
        </is>
      </c>
    </row>
    <row r="4" ht="16.5" customHeight="1" thickBot="1">
      <c r="A4" s="111" t="inlineStr">
        <is>
          <t>Primeira Igreja Batista Aliança</t>
        </is>
      </c>
      <c r="B4" s="27" t="n">
        <v>1</v>
      </c>
      <c r="C4" t="n">
        <v>1</v>
      </c>
      <c r="D4" s="28" t="n">
        <v>4</v>
      </c>
      <c r="E4" s="28" t="n">
        <v>3</v>
      </c>
      <c r="F4" s="28" t="n">
        <v>4</v>
      </c>
      <c r="G4" s="28" t="n">
        <v>0</v>
      </c>
      <c r="H4" s="28" t="inlineStr">
        <is>
          <t>x</t>
        </is>
      </c>
      <c r="I4" s="29" t="n"/>
      <c r="J4" s="30" t="n"/>
      <c r="K4" s="80" t="inlineStr">
        <is>
          <t>OU</t>
        </is>
      </c>
      <c r="L4" s="88" t="n"/>
      <c r="M4" s="102" t="n"/>
      <c r="N4" s="77" t="n"/>
      <c r="O4" s="90" t="n"/>
      <c r="P4" s="40" t="n"/>
      <c r="Q4" s="41" t="n"/>
      <c r="R4" s="93" t="n"/>
      <c r="S4" s="82" t="n"/>
      <c r="T4" s="77" t="n"/>
      <c r="U4" s="106" t="n"/>
      <c r="V4" s="38" t="n"/>
      <c r="W4" s="31">
        <f>IF((B4+D4)&gt;0,B4*$B$24+C4*$C$24+IF(AND(D4&gt;0,E4=D4),$E$24,0)+IF(AND(D4&gt;0,F4=D4),$F$24,0)+G4*$G$24+IF(H4="x",$H$24,0),0)</f>
        <v/>
      </c>
      <c r="X4" s="32">
        <f>IF(I4="x",$I$24,0)+IF(J4="x",$J$24,0)</f>
        <v/>
      </c>
      <c r="Y4" s="33">
        <f>300*COUNTIF(K4:V4,"ou")+200*COUNTIF(K4:V4,"pt")+100*COUNTIF(K4:V4,"br")+300*COUNTIF(K4:V4,"ou_pt")+300*COUNTIF(K4:V4,"ou_br")+200*COUNTIF(K4:V4,"pt_br")+300*COUNTIF(K4:V4,"ou_pt_br")</f>
        <v/>
      </c>
      <c r="Z4" s="34" t="n">
        <v>0</v>
      </c>
      <c r="AA4" s="35">
        <f>IF(D4&gt;0,SUM(W4,X4,Y4,Z4),"")</f>
        <v/>
      </c>
      <c r="AB4" s="36">
        <f>IFERROR(_xlfn.RANK.EQ(AA4,AA$4:AA$22,0),"")</f>
        <v/>
      </c>
    </row>
    <row r="5" ht="16.5" customHeight="1" thickBot="1">
      <c r="A5" s="112" t="inlineStr">
        <is>
          <t>Igreja Batista do Ibes</t>
        </is>
      </c>
      <c r="B5" s="37" t="n">
        <v>1</v>
      </c>
      <c r="C5" t="n">
        <v>1</v>
      </c>
      <c r="D5" s="38" t="n">
        <v>4</v>
      </c>
      <c r="E5" s="38" t="n">
        <v>0</v>
      </c>
      <c r="F5" s="38" t="n">
        <v>4</v>
      </c>
      <c r="G5" s="38" t="n">
        <v>0</v>
      </c>
      <c r="H5" s="38" t="n"/>
      <c r="I5" s="39" t="n"/>
      <c r="J5" s="40" t="n"/>
      <c r="K5" s="80" t="n"/>
      <c r="L5" s="88" t="n"/>
      <c r="M5" s="102" t="n"/>
      <c r="N5" s="77" t="inlineStr">
        <is>
          <t>OU</t>
        </is>
      </c>
      <c r="O5" s="90" t="n"/>
      <c r="P5" s="40" t="n"/>
      <c r="Q5" s="109" t="n"/>
      <c r="R5" s="93" t="n"/>
      <c r="S5" s="82" t="n"/>
      <c r="T5" s="77" t="n"/>
      <c r="U5" s="96" t="n"/>
      <c r="V5" s="38" t="n"/>
      <c r="W5" s="42">
        <f>IF((B5+D5)&gt;0,B5*$B$24+C5*$C$24+IF(AND(D5&gt;0,E5=D5),$E$24,0)+IF(AND(D5&gt;0,F5=D5),$F$24,0)+G5*$G$24+IF(H5="x",$H$24,0),0)</f>
        <v/>
      </c>
      <c r="X5" s="43">
        <f>IF(I5="x",$I$24,0)+IF(J5="x",$J$24,0)</f>
        <v/>
      </c>
      <c r="Y5" s="44">
        <f>300*COUNTIF(K5:V5,"ou")+200*COUNTIF(K5:V5,"pt")+100*COUNTIF(K5:V5,"br")+300*COUNTIF(K5:V5,"ou_pt")+300*COUNTIF(K5:V5,"ou_br")+200*COUNTIF(K5:V5,"pt_br")+300*COUNTIF(K5:V5,"ou_pt_br")</f>
        <v/>
      </c>
      <c r="Z5" s="45" t="n">
        <v>0</v>
      </c>
      <c r="AA5" s="46">
        <f>IF(D5&gt;0,SUM(W5,X5,Y5,Z5),"")</f>
        <v/>
      </c>
      <c r="AB5" s="47">
        <f>IFERROR(_xlfn.RANK.EQ(AA5,AA$4:AA$22,0),"")</f>
        <v/>
      </c>
    </row>
    <row r="6" ht="16.5" customHeight="1" thickBot="1">
      <c r="A6" s="113" t="inlineStr">
        <is>
          <t>Igreja Batista da Glória</t>
        </is>
      </c>
      <c r="B6" s="49" t="n">
        <v>1</v>
      </c>
      <c r="C6" t="n">
        <v>1</v>
      </c>
      <c r="D6" s="50" t="n">
        <v>5</v>
      </c>
      <c r="E6" s="50" t="n">
        <v>5</v>
      </c>
      <c r="F6" s="50" t="n">
        <v>4</v>
      </c>
      <c r="G6" s="50" t="n">
        <v>0</v>
      </c>
      <c r="H6" s="50" t="inlineStr">
        <is>
          <t>x</t>
        </is>
      </c>
      <c r="I6" s="51" t="n"/>
      <c r="J6" s="52" t="n"/>
      <c r="K6" s="81" t="n"/>
      <c r="L6" s="89" t="n"/>
      <c r="M6" s="103" t="n"/>
      <c r="N6" s="78" t="n"/>
      <c r="O6" s="91" t="n"/>
      <c r="P6" s="52" t="inlineStr">
        <is>
          <t>PT</t>
        </is>
      </c>
      <c r="Q6" s="110" t="n"/>
      <c r="R6" s="78" t="n"/>
      <c r="S6" s="83" t="n"/>
      <c r="T6" s="78" t="n"/>
      <c r="U6" s="97" t="n"/>
      <c r="V6" s="50" t="n"/>
      <c r="W6" s="54">
        <f>IF((B6+D6)&gt;0,B6*$B$24+C6*$C$24+IF(AND(D6&gt;0,E6=D6),$E$24,0)+IF(AND(D6&gt;0,F6=D6),$F$24,0)+G6*$G$24+IF(H6="x",$H$24,0),0)</f>
        <v/>
      </c>
      <c r="X6" s="55">
        <f>IF(I6="x",$I$24,0)+IF(J6="x",$J$24,0)</f>
        <v/>
      </c>
      <c r="Y6" s="56">
        <f>300*COUNTIF(K6:V6,"ou")+200*COUNTIF(K6:V6,"pt")+100*COUNTIF(K6:V6,"br")+300*COUNTIF(K6:V6,"ou_pt")+300*COUNTIF(K6:V6,"ou_br")+200*COUNTIF(K6:V6,"pt_br")+300*COUNTIF(K6:V6,"ou_pt_br")</f>
        <v/>
      </c>
      <c r="Z6" s="57" t="n">
        <v>0</v>
      </c>
      <c r="AA6" s="58">
        <f>IF(D6&gt;0,SUM(W6,X6,Y6,Z6),"")</f>
        <v/>
      </c>
      <c r="AB6" s="59">
        <f>IFERROR(_xlfn.RANK.EQ(AA6,AA$4:AA$22,0),"")</f>
        <v/>
      </c>
    </row>
    <row r="7" ht="16.5" customHeight="1" thickBot="1">
      <c r="A7" s="112" t="inlineStr">
        <is>
          <t>Igreja da Orla</t>
        </is>
      </c>
      <c r="B7" s="37" t="n">
        <v>1</v>
      </c>
      <c r="C7" t="n">
        <v>1</v>
      </c>
      <c r="D7" s="38" t="n">
        <v>2</v>
      </c>
      <c r="E7" s="38" t="n">
        <v>1</v>
      </c>
      <c r="F7" s="38" t="n">
        <v>2</v>
      </c>
      <c r="G7" s="38" t="n">
        <v>0</v>
      </c>
      <c r="H7" s="38" t="n"/>
      <c r="I7" s="39" t="n"/>
      <c r="J7" s="40" t="n"/>
      <c r="K7" s="80" t="n"/>
      <c r="L7" s="88" t="n"/>
      <c r="M7" s="102" t="n"/>
      <c r="N7" s="77" t="n"/>
      <c r="O7" s="90" t="n"/>
      <c r="P7" s="40" t="n"/>
      <c r="Q7" s="41" t="n"/>
      <c r="R7" s="93" t="n"/>
      <c r="S7" s="82" t="n"/>
      <c r="T7" s="77" t="n"/>
      <c r="U7" s="96" t="n"/>
      <c r="V7" s="38" t="n"/>
      <c r="W7" s="42">
        <f>IF((B7+D7)&gt;0,B7*$B$24+C7*$C$24+IF(AND(D7&gt;0,E7=D7),$E$24,0)+IF(AND(D7&gt;0,F7=D7),$F$24,0)+G7*$G$24+IF(H7="x",$H$24,0),0)</f>
        <v/>
      </c>
      <c r="X7" s="43">
        <f>IF(I7="x",$I$24,0)+IF(J7="x",$J$24,0)</f>
        <v/>
      </c>
      <c r="Y7" s="44">
        <f>300*COUNTIF(K7:V7,"ou")+200*COUNTIF(K7:V7,"pt")+100*COUNTIF(K7:V7,"br")+300*COUNTIF(K7:V7,"ou_pt")+300*COUNTIF(K7:V7,"ou_br")+200*COUNTIF(K7:V7,"pt_br")+300*COUNTIF(K7:V7,"ou_pt_br")</f>
        <v/>
      </c>
      <c r="Z7" s="45" t="n">
        <v>0</v>
      </c>
      <c r="AA7" s="46">
        <f>IF(D7&gt;0,SUM(W7,X7,Y7,Z7),"")</f>
        <v/>
      </c>
      <c r="AB7" s="47">
        <f>IFERROR(_xlfn.RANK.EQ(AA7,AA$4:AA$22,0),"")</f>
        <v/>
      </c>
    </row>
    <row r="8" ht="16.5" customHeight="1" thickBot="1">
      <c r="A8" s="113" t="inlineStr">
        <is>
          <t>Vila Batista</t>
        </is>
      </c>
      <c r="B8" s="49" t="n">
        <v>1</v>
      </c>
      <c r="C8" t="n">
        <v>1</v>
      </c>
      <c r="D8" s="50" t="n">
        <v>2</v>
      </c>
      <c r="E8" s="50" t="n">
        <v>2</v>
      </c>
      <c r="F8" s="50" t="n">
        <v>2</v>
      </c>
      <c r="G8" s="50" t="n">
        <v>0</v>
      </c>
      <c r="H8" s="50" t="inlineStr">
        <is>
          <t>x</t>
        </is>
      </c>
      <c r="I8" s="51" t="n"/>
      <c r="J8" s="52" t="inlineStr">
        <is>
          <t>x</t>
        </is>
      </c>
      <c r="K8" s="81" t="n"/>
      <c r="L8" s="89" t="n"/>
      <c r="M8" s="103" t="n"/>
      <c r="N8" s="78" t="n"/>
      <c r="O8" s="91" t="n"/>
      <c r="P8" s="52" t="n"/>
      <c r="Q8" s="53" t="n"/>
      <c r="R8" s="94" t="n"/>
      <c r="S8" s="83" t="n"/>
      <c r="T8" s="78" t="n"/>
      <c r="U8" s="97" t="n"/>
      <c r="V8" s="50" t="n"/>
      <c r="W8" s="54">
        <f>IF((B8+D8)&gt;0,B8*$B$24+C8*$C$24+IF(AND(D8&gt;0,E8=D8),$E$24,0)+IF(AND(D8&gt;0,F8=D8),$F$24,0)+G8*$G$24+IF(H8="x",$H$24,0),0)</f>
        <v/>
      </c>
      <c r="X8" s="55">
        <f>IF(I8="x",$I$24,0)+IF(J8="x",$J$24,0)</f>
        <v/>
      </c>
      <c r="Y8" s="56">
        <f>300*COUNTIF(K8:V8,"ou")+200*COUNTIF(K8:V8,"pt")+100*COUNTIF(K8:V8,"br")+300*COUNTIF(K8:V8,"ou_pt")+300*COUNTIF(K8:V8,"ou_br")+200*COUNTIF(K8:V8,"pt_br")+300*COUNTIF(K8:V8,"ou_pt_br")</f>
        <v/>
      </c>
      <c r="Z8" s="57" t="n">
        <v>0</v>
      </c>
      <c r="AA8" s="58">
        <f>IF(D8&gt;0,SUM(W8,X8,Y8,Z8),"")</f>
        <v/>
      </c>
      <c r="AB8" s="59">
        <f>IFERROR(_xlfn.RANK.EQ(AA8,AA$4:AA$22,0),"")</f>
        <v/>
      </c>
    </row>
    <row r="9" ht="16.5" customHeight="1" thickBot="1">
      <c r="A9" s="112" t="inlineStr">
        <is>
          <t>PIB Aribiri</t>
        </is>
      </c>
      <c r="B9" s="37" t="n">
        <v>1</v>
      </c>
      <c r="C9" t="n">
        <v>1</v>
      </c>
      <c r="D9" s="38" t="n">
        <v>9</v>
      </c>
      <c r="E9" s="38" t="n">
        <v>9</v>
      </c>
      <c r="F9" s="38" t="n">
        <v>9</v>
      </c>
      <c r="G9" s="38" t="n">
        <v>0</v>
      </c>
      <c r="H9" s="38" t="inlineStr">
        <is>
          <t>x</t>
        </is>
      </c>
      <c r="I9" s="39" t="n"/>
      <c r="J9" s="40" t="n"/>
      <c r="K9" s="80" t="n"/>
      <c r="L9" s="88" t="n"/>
      <c r="M9" s="102" t="n"/>
      <c r="N9" s="77" t="n"/>
      <c r="O9" s="90" t="n"/>
      <c r="P9" s="40" t="n"/>
      <c r="Q9" s="41" t="n"/>
      <c r="R9" s="93" t="inlineStr">
        <is>
          <t>BR</t>
        </is>
      </c>
      <c r="S9" s="82" t="n"/>
      <c r="T9" s="77" t="n"/>
      <c r="U9" s="96" t="n"/>
      <c r="V9" s="38" t="n"/>
      <c r="W9" s="42">
        <f>IF((B9+D9)&gt;0,B9*$B$24+C9*$C$24+IF(AND(D9&gt;0,E9=D9),$E$24,0)+IF(AND(D9&gt;0,F9=D9),$F$24,0)+G9*$G$24+IF(H9="x",$H$24,0),0)</f>
        <v/>
      </c>
      <c r="X9" s="43">
        <f>IF(I9="x",$I$24,0)+IF(J9="x",$J$24,0)</f>
        <v/>
      </c>
      <c r="Y9" s="44">
        <f>300*COUNTIF(K9:V9,"ou")+200*COUNTIF(K9:V9,"pt")+100*COUNTIF(K9:V9,"br")+300*COUNTIF(K9:V9,"ou_pt")+300*COUNTIF(K9:V9,"ou_br")+200*COUNTIF(K9:V9,"pt_br")+300*COUNTIF(K9:V9,"ou_pt_br")</f>
        <v/>
      </c>
      <c r="Z9" s="45" t="n">
        <v>0</v>
      </c>
      <c r="AA9" s="46">
        <f>IF(D9&gt;0,SUM(W9,X9,Y9,Z9),"")</f>
        <v/>
      </c>
      <c r="AB9" s="47">
        <f>IFERROR(_xlfn.RANK.EQ(AA9,AA$4:AA$22,0),"")</f>
        <v/>
      </c>
    </row>
    <row r="10" ht="26.25" customHeight="1" thickBot="1">
      <c r="A10" s="113" t="inlineStr">
        <is>
          <t>Primeira Igreja Batista em Vila Garrido</t>
        </is>
      </c>
      <c r="B10" s="49" t="n">
        <v>1</v>
      </c>
      <c r="C10" t="n">
        <v>1</v>
      </c>
      <c r="D10" s="50" t="n">
        <v>8</v>
      </c>
      <c r="E10" s="50" t="n">
        <v>7</v>
      </c>
      <c r="F10" s="50" t="n">
        <v>8</v>
      </c>
      <c r="G10" s="50" t="n">
        <v>0</v>
      </c>
      <c r="H10" s="50" t="n"/>
      <c r="I10" s="51" t="n"/>
      <c r="J10" s="52" t="n"/>
      <c r="K10" s="81" t="n"/>
      <c r="L10" s="89" t="n"/>
      <c r="M10" s="103" t="n"/>
      <c r="N10" s="78" t="n"/>
      <c r="O10" s="91" t="n"/>
      <c r="P10" s="52" t="n"/>
      <c r="Q10" s="53" t="n"/>
      <c r="R10" s="94" t="n"/>
      <c r="S10" s="83" t="n"/>
      <c r="T10" s="78" t="n"/>
      <c r="U10" s="97" t="inlineStr">
        <is>
          <t>BR</t>
        </is>
      </c>
      <c r="V10" s="50" t="n"/>
      <c r="W10" s="54">
        <f>IF((B10+D10)&gt;0,B10*$B$24+C10*$C$24+IF(AND(D10&gt;0,E10=D10),$E$24,0)+IF(AND(D10&gt;0,F10=D10),$F$24,0)+G10*$G$24+IF(H10="x",$H$24,0),0)</f>
        <v/>
      </c>
      <c r="X10" s="55">
        <f>IF(I10="x",$I$24,0)+IF(J10="x",$J$24,0)</f>
        <v/>
      </c>
      <c r="Y10" s="56">
        <f>300*COUNTIF(K10:V10,"ou")+200*COUNTIF(K10:V10,"pt")+100*COUNTIF(K10:V10,"br")+300*COUNTIF(K10:V10,"ou_pt")+300*COUNTIF(K10:V10,"ou_br")+200*COUNTIF(K10:V10,"pt_br")+300*COUNTIF(K10:V10,"ou_pt_br")</f>
        <v/>
      </c>
      <c r="Z10" s="57" t="n">
        <v>0</v>
      </c>
      <c r="AA10" s="58">
        <f>IF(D10&gt;0,SUM(W10,X10,Y10,Z10),"")</f>
        <v/>
      </c>
      <c r="AB10" s="59">
        <f>IFERROR(_xlfn.RANK.EQ(AA10,AA$4:AA$22,0),"")</f>
        <v/>
      </c>
    </row>
    <row r="11" ht="16.5" customHeight="1" thickBot="1">
      <c r="A11" s="112" t="inlineStr">
        <is>
          <t>Novo México</t>
        </is>
      </c>
      <c r="B11" s="37" t="n">
        <v>1</v>
      </c>
      <c r="C11" t="n">
        <v>1</v>
      </c>
      <c r="D11" s="38" t="n">
        <v>5</v>
      </c>
      <c r="E11" s="38" t="n">
        <v>1</v>
      </c>
      <c r="F11" s="38" t="n">
        <v>5</v>
      </c>
      <c r="G11" s="38" t="n">
        <v>0</v>
      </c>
      <c r="H11" s="38" t="inlineStr">
        <is>
          <t>x</t>
        </is>
      </c>
      <c r="I11" s="39" t="n"/>
      <c r="J11" s="40" t="inlineStr">
        <is>
          <t>x</t>
        </is>
      </c>
      <c r="K11" s="80" t="n"/>
      <c r="L11" s="88" t="n"/>
      <c r="M11" s="102" t="inlineStr">
        <is>
          <t>BR</t>
        </is>
      </c>
      <c r="N11" s="77" t="n"/>
      <c r="O11" s="90" t="n"/>
      <c r="P11" s="40" t="n"/>
      <c r="Q11" s="41" t="n"/>
      <c r="R11" s="93" t="n"/>
      <c r="S11" s="82" t="n"/>
      <c r="T11" s="77" t="n"/>
      <c r="U11" s="96" t="n"/>
      <c r="V11" s="38" t="n"/>
      <c r="W11" s="42">
        <f>IF((B11+D11)&gt;0,B11*$B$24+C11*$C$24+IF(AND(D11&gt;0,E11=D11),$E$24,0)+IF(AND(D11&gt;0,F11=D11),$F$24,0)+G11*$G$24+IF(H11="x",$H$24,0),0)</f>
        <v/>
      </c>
      <c r="X11" s="43">
        <f>IF(I11="x",$I$24,0)+IF(J11="x",$J$24,0)</f>
        <v/>
      </c>
      <c r="Y11" s="44">
        <f>300*COUNTIF(K11:V11,"ou")+200*COUNTIF(K11:V11,"pt")+100*COUNTIF(K11:V11,"br")+300*COUNTIF(K11:V11,"ou_pt")+300*COUNTIF(K11:V11,"ou_br")+200*COUNTIF(K11:V11,"pt_br")+300*COUNTIF(K11:V11,"ou_pt_br")</f>
        <v/>
      </c>
      <c r="Z11" s="45" t="n">
        <v>0</v>
      </c>
      <c r="AA11" s="46">
        <f>IF(D11&gt;0,SUM(W11,X11,Y11,Z11),"")</f>
        <v/>
      </c>
      <c r="AB11" s="47">
        <f>IFERROR(_xlfn.RANK.EQ(AA11,AA$4:AA$22,0),"")</f>
        <v/>
      </c>
      <c r="AD11" s="60" t="n"/>
    </row>
    <row r="12" ht="16.5" customHeight="1" thickBot="1">
      <c r="A12" s="113" t="inlineStr">
        <is>
          <t>Igreja Batista de Santa Rita</t>
        </is>
      </c>
      <c r="B12" s="49" t="n">
        <v>1</v>
      </c>
      <c r="C12" t="n">
        <v>1</v>
      </c>
      <c r="D12" s="50" t="n">
        <v>10</v>
      </c>
      <c r="E12" s="50" t="n">
        <v>10</v>
      </c>
      <c r="F12" s="50" t="n">
        <v>10</v>
      </c>
      <c r="G12" s="50" t="n">
        <v>1</v>
      </c>
      <c r="H12" s="50" t="inlineStr">
        <is>
          <t>x</t>
        </is>
      </c>
      <c r="I12" s="51" t="n"/>
      <c r="J12" s="52" t="n"/>
      <c r="K12" s="81" t="n"/>
      <c r="L12" s="89" t="n"/>
      <c r="M12" s="103" t="n"/>
      <c r="N12" s="78" t="n"/>
      <c r="O12" s="91" t="n"/>
      <c r="P12" s="52" t="n"/>
      <c r="Q12" s="53" t="inlineStr">
        <is>
          <t>OU_PT</t>
        </is>
      </c>
      <c r="R12" s="94" t="n"/>
      <c r="S12" s="83" t="n"/>
      <c r="T12" s="78" t="n"/>
      <c r="U12" s="97" t="n"/>
      <c r="V12" s="50" t="inlineStr">
        <is>
          <t>PT</t>
        </is>
      </c>
      <c r="W12" s="54">
        <f>IF((B12+D12)&gt;0,B12*$B$24+C12*$C$24+IF(AND(D12&gt;0,E12=D12),$E$24,0)+IF(AND(D12&gt;0,F12=D12),$F$24,0)+G12*$G$24+IF(H12="x",$H$24,0),0)</f>
        <v/>
      </c>
      <c r="X12" s="55">
        <f>IF(I12="x",$I$24,0)+IF(J12="x",$J$24,0)</f>
        <v/>
      </c>
      <c r="Y12" s="56">
        <f>300*COUNTIF(K12:V12,"ou")+200*COUNTIF(K12:V12,"pt")+100*COUNTIF(K12:V12,"br")+300*COUNTIF(K12:V12,"ou_pt")+300*COUNTIF(K12:V12,"ou_br")+200*COUNTIF(K12:V12,"pt_br")+300*COUNTIF(K12:V12,"ou_pt_br")</f>
        <v/>
      </c>
      <c r="Z12" s="57" t="n">
        <v>0</v>
      </c>
      <c r="AA12" s="58">
        <f>IF(D12&gt;0,SUM(W12,X12,Y12,Z12),"")</f>
        <v/>
      </c>
      <c r="AB12" s="59">
        <f>IFERROR(_xlfn.RANK.EQ(AA12,AA$4:AA$22,0),"")</f>
        <v/>
      </c>
    </row>
    <row r="13" ht="26.25" customHeight="1" thickBot="1">
      <c r="A13" s="112" t="inlineStr">
        <is>
          <t>Primeira igreja Batista 23 de maio</t>
        </is>
      </c>
      <c r="B13" s="37" t="n">
        <v>1</v>
      </c>
      <c r="C13" t="n">
        <v>1</v>
      </c>
      <c r="D13" s="38" t="n">
        <v>13</v>
      </c>
      <c r="E13" s="38" t="n">
        <v>13</v>
      </c>
      <c r="F13" s="38" t="n">
        <v>13</v>
      </c>
      <c r="G13" s="38" t="n">
        <v>1</v>
      </c>
      <c r="H13" s="38" t="n"/>
      <c r="I13" s="39" t="n"/>
      <c r="J13" s="40" t="n"/>
      <c r="K13" s="80" t="n"/>
      <c r="L13" s="88" t="n"/>
      <c r="M13" s="102" t="n"/>
      <c r="N13" s="77" t="n"/>
      <c r="O13" s="90" t="n"/>
      <c r="P13" s="40" t="n"/>
      <c r="Q13" s="41" t="n"/>
      <c r="R13" s="93" t="n"/>
      <c r="S13" s="82" t="n"/>
      <c r="T13" s="77" t="n"/>
      <c r="U13" s="96" t="n"/>
      <c r="V13" s="38" t="n"/>
      <c r="W13" s="42">
        <f>IF((B13+D13)&gt;0,B13*$B$24+C13*$C$24+IF(AND(D13&gt;0,E13=D13),$E$24,0)+IF(AND(D13&gt;0,F13=D13),$F$24,0)+G13*$G$24+IF(H13="x",$H$24,0),0)</f>
        <v/>
      </c>
      <c r="X13" s="43">
        <f>IF(I13="x",$I$24,0)+IF(J13="x",$J$24,0)</f>
        <v/>
      </c>
      <c r="Y13" s="44">
        <f>300*COUNTIF(K13:V13,"ou")+200*COUNTIF(K13:V13,"pt")+100*COUNTIF(K13:V13,"br")+300*COUNTIF(K13:V13,"ou_pt")+300*COUNTIF(K13:V13,"ou_br")+200*COUNTIF(K13:V13,"pt_br")+300*COUNTIF(K13:V13,"ou_pt_br")</f>
        <v/>
      </c>
      <c r="Z13" s="45" t="n">
        <v>0</v>
      </c>
      <c r="AA13" s="46">
        <f>IF(D13&gt;0,SUM(W13,X13,Y13,Z13),"")</f>
        <v/>
      </c>
      <c r="AB13" s="47">
        <f>IFERROR(_xlfn.RANK.EQ(AA13,AA$4:AA$22,0),"")</f>
        <v/>
      </c>
    </row>
    <row r="14" ht="16.5" customHeight="1" thickBot="1">
      <c r="A14" s="113" t="inlineStr">
        <is>
          <t>batista Guaranhuns</t>
        </is>
      </c>
      <c r="B14" s="49" t="n">
        <v>1</v>
      </c>
      <c r="C14" t="n">
        <v>1</v>
      </c>
      <c r="D14" s="50" t="n">
        <v>7</v>
      </c>
      <c r="E14" s="50" t="n">
        <v>1</v>
      </c>
      <c r="F14" s="50" t="n">
        <v>7</v>
      </c>
      <c r="G14" s="50" t="n">
        <v>0</v>
      </c>
      <c r="H14" s="50" t="n"/>
      <c r="I14" s="51" t="n"/>
      <c r="J14" s="52" t="n"/>
      <c r="K14" s="81" t="n"/>
      <c r="L14" s="89" t="n"/>
      <c r="M14" s="103" t="n"/>
      <c r="N14" s="78" t="n"/>
      <c r="O14" s="91" t="n"/>
      <c r="P14" s="52" t="n"/>
      <c r="Q14" s="53" t="n"/>
      <c r="R14" s="94" t="n"/>
      <c r="S14" s="83" t="n"/>
      <c r="T14" s="78" t="n"/>
      <c r="U14" s="97" t="n"/>
      <c r="V14" s="50" t="n"/>
      <c r="W14" s="54">
        <f>IF((B14+D14)&gt;0,B14*$B$24+C14*$C$24+IF(AND(D14&gt;0,E14=D14),$E$24,0)+IF(AND(D14&gt;0,F14=D14),$F$24,0)+G14*$G$24+IF(H14="x",$H$24,0),0)</f>
        <v/>
      </c>
      <c r="X14" s="55">
        <f>IF(I14="x",$I$24,0)+IF(J14="x",$J$24,0)</f>
        <v/>
      </c>
      <c r="Y14" s="56">
        <f>300*COUNTIF(K14:V14,"ou")+200*COUNTIF(K14:V14,"pt")+100*COUNTIF(K14:V14,"br")+300*COUNTIF(K14:V14,"ou_pt")+300*COUNTIF(K14:V14,"ou_br")+200*COUNTIF(K14:V14,"pt_br")+300*COUNTIF(K14:V14,"ou_pt_br")</f>
        <v/>
      </c>
      <c r="Z14" s="57" t="n">
        <v>0</v>
      </c>
      <c r="AA14" s="58">
        <f>IF(D14&gt;0,SUM(W14,X14,Y14,Z14),"")</f>
        <v/>
      </c>
      <c r="AB14" s="59">
        <f>IFERROR(_xlfn.RANK.EQ(AA14,AA$4:AA$22,0),"")</f>
        <v/>
      </c>
    </row>
    <row r="15" ht="26.25" customHeight="1" thickBot="1">
      <c r="A15" s="112" t="inlineStr">
        <is>
          <t>Primeira Igreja Batista em João Goulart (PIBJG)</t>
        </is>
      </c>
      <c r="B15" s="37" t="n">
        <v>1</v>
      </c>
      <c r="C15" t="n">
        <v>1</v>
      </c>
      <c r="D15" s="38" t="n">
        <v>8</v>
      </c>
      <c r="E15" s="38" t="n">
        <v>8</v>
      </c>
      <c r="F15" s="38" t="n">
        <v>8</v>
      </c>
      <c r="G15" s="38" t="n">
        <v>0</v>
      </c>
      <c r="H15" s="38" t="n"/>
      <c r="I15" s="39" t="n"/>
      <c r="J15" s="40" t="n"/>
      <c r="K15" s="80" t="n"/>
      <c r="L15" s="88" t="inlineStr">
        <is>
          <t>PT</t>
        </is>
      </c>
      <c r="M15" s="102" t="n"/>
      <c r="N15" s="77" t="n"/>
      <c r="O15" s="90" t="inlineStr">
        <is>
          <t>BR</t>
        </is>
      </c>
      <c r="P15" s="40" t="n"/>
      <c r="Q15" s="41" t="n"/>
      <c r="R15" s="93" t="n"/>
      <c r="S15" s="82" t="n"/>
      <c r="T15" s="77" t="n"/>
      <c r="U15" s="96" t="inlineStr">
        <is>
          <t>PT</t>
        </is>
      </c>
      <c r="V15" s="38" t="inlineStr">
        <is>
          <t>PT</t>
        </is>
      </c>
      <c r="W15" s="42">
        <f>IF((B15+D15)&gt;0,B15*$B$24+C15*$C$24+IF(AND(D15&gt;0,E15=D15),$E$24,0)+IF(AND(D15&gt;0,F15=D15),$F$24,0)+G15*$G$24+IF(H15="x",$H$24,0),0)</f>
        <v/>
      </c>
      <c r="X15" s="43">
        <f>IF(I15="x",$I$24,0)+IF(J15="x",$J$24,0)</f>
        <v/>
      </c>
      <c r="Y15" s="44">
        <f>300*COUNTIF(K15:V15,"ou")+200*COUNTIF(K15:V15,"pt")+100*COUNTIF(K15:V15,"br")+300*COUNTIF(K15:V15,"ou_pt")+300*COUNTIF(K15:V15,"ou_br")+200*COUNTIF(K15:V15,"pt_br")+300*COUNTIF(K15:V15,"ou_pt_br")</f>
        <v/>
      </c>
      <c r="Z15" s="45" t="n">
        <v>0</v>
      </c>
      <c r="AA15" s="46">
        <f>IF(D15&gt;0,SUM(W15,X15,Y15,Z15),"")</f>
        <v/>
      </c>
      <c r="AB15" s="47">
        <f>IFERROR(_xlfn.RANK.EQ(AA15,AA$4:AA$22,0),"")</f>
        <v/>
      </c>
    </row>
    <row r="16" ht="26.25" customHeight="1" thickBot="1">
      <c r="A16" s="113" t="inlineStr">
        <is>
          <t>Primeira Igreja Batista em Brunellas</t>
        </is>
      </c>
      <c r="B16" s="37" t="n">
        <v>1</v>
      </c>
      <c r="C16" t="n">
        <v>1</v>
      </c>
      <c r="D16" s="50" t="n"/>
      <c r="E16" s="50" t="n"/>
      <c r="F16" s="50" t="n"/>
      <c r="G16" s="50" t="n"/>
      <c r="H16" s="50" t="n"/>
      <c r="I16" s="51" t="n"/>
      <c r="J16" s="52" t="n"/>
      <c r="K16" s="81" t="n"/>
      <c r="L16" s="89" t="n"/>
      <c r="M16" s="103" t="n"/>
      <c r="N16" s="78" t="n"/>
      <c r="O16" s="91" t="n"/>
      <c r="P16" s="52" t="n"/>
      <c r="Q16" s="53" t="n"/>
      <c r="R16" s="94" t="n"/>
      <c r="S16" s="83" t="n"/>
      <c r="T16" s="78" t="n"/>
      <c r="U16" s="97" t="n"/>
      <c r="V16" s="50" t="n"/>
      <c r="W16" s="54">
        <f>IF((B16+D16)&gt;0,B16*$B$24+C16*$C$24+IF(AND(D16&gt;0,E16=D16),$E$24,0)+IF(AND(D16&gt;0,F16=D16),$F$24,0)+G16*$G$24+IF(H16="x",$H$24,0),0)</f>
        <v/>
      </c>
      <c r="X16" s="55">
        <f>IF(I16="x",$I$24,0)+IF(J16="x",$J$24,0)</f>
        <v/>
      </c>
      <c r="Y16" s="56">
        <f>300*COUNTIF(K16:V16,"ou")+200*COUNTIF(K16:V16,"pt")+100*COUNTIF(K16:V16,"br")+300*COUNTIF(K16:V16,"ou_pt")+300*COUNTIF(K16:V16,"ou_br")+200*COUNTIF(K16:V16,"pt_br")+300*COUNTIF(K16:V16,"ou_pt_br")</f>
        <v/>
      </c>
      <c r="Z16" s="45" t="n">
        <v>0</v>
      </c>
      <c r="AA16" s="46">
        <f>IF(D16&gt;0,SUM(W16,X16,Y16,Z16),"")</f>
        <v/>
      </c>
      <c r="AB16" s="47">
        <f>IFERROR(_xlfn.RANK.EQ(AA16,AA$4:AA$22,0),"")</f>
        <v/>
      </c>
    </row>
    <row r="17" ht="16.5" customHeight="1" thickBot="1">
      <c r="A17" s="112" t="inlineStr">
        <is>
          <t>Pib Cobilandia</t>
        </is>
      </c>
      <c r="B17" s="37" t="n">
        <v>1</v>
      </c>
      <c r="C17" t="n">
        <v>1</v>
      </c>
      <c r="D17" s="38" t="n">
        <v>9</v>
      </c>
      <c r="E17" s="38" t="n">
        <v>9</v>
      </c>
      <c r="F17" s="38" t="n">
        <v>9</v>
      </c>
      <c r="G17" s="38" t="n">
        <v>1</v>
      </c>
      <c r="H17" s="38" t="n"/>
      <c r="I17" s="39" t="n"/>
      <c r="J17" s="40" t="n"/>
      <c r="K17" s="80" t="n"/>
      <c r="L17" s="88" t="n"/>
      <c r="M17" s="102" t="n"/>
      <c r="N17" s="77" t="n"/>
      <c r="O17" s="90" t="n"/>
      <c r="P17" s="40" t="n"/>
      <c r="Q17" s="41" t="n"/>
      <c r="R17" s="93" t="n"/>
      <c r="S17" s="82" t="n"/>
      <c r="T17" s="77" t="inlineStr">
        <is>
          <t>BR</t>
        </is>
      </c>
      <c r="U17" s="96" t="n"/>
      <c r="V17" s="38" t="n"/>
      <c r="W17" s="42">
        <f>IF((B17+D17)&gt;0,B17*$B$24+C17*$C$24+IF(AND(D17&gt;0,E17=D17),$E$24,0)+IF(AND(D17&gt;0,F17=D17),$F$24,0)+G17*$G$24+IF(H17="x",$H$24,0),0)</f>
        <v/>
      </c>
      <c r="X17" s="43">
        <f>IF(I17="x",$I$24,0)+IF(J17="x",$J$24,0)</f>
        <v/>
      </c>
      <c r="Y17" s="44">
        <f>300*COUNTIF(K17:V17,"ou")+200*COUNTIF(K17:V17,"pt")+100*COUNTIF(K17:V17,"br")+300*COUNTIF(K17:V17,"ou_pt")+300*COUNTIF(K17:V17,"ou_br")+200*COUNTIF(K17:V17,"pt_br")+300*COUNTIF(K17:V17,"ou_pt_br")</f>
        <v/>
      </c>
      <c r="Z17" s="45" t="n">
        <v>0</v>
      </c>
      <c r="AA17" s="46">
        <f>IF(D17&gt;0,SUM(W17,X17,Y17,Z17),"")</f>
        <v/>
      </c>
      <c r="AB17" s="47">
        <f>IFERROR(_xlfn.RANK.EQ(AA17,AA$4:AA$22,0),"")</f>
        <v/>
      </c>
    </row>
    <row r="18" ht="26.25" customHeight="1" thickBot="1">
      <c r="A18" s="113" t="inlineStr">
        <is>
          <t>Primeira igreja Batista em Alvorada</t>
        </is>
      </c>
      <c r="B18" s="37" t="n">
        <v>1</v>
      </c>
      <c r="C18" t="n">
        <v>1</v>
      </c>
      <c r="D18" s="50" t="n">
        <v>10</v>
      </c>
      <c r="E18" s="50" t="n">
        <v>10</v>
      </c>
      <c r="F18" s="50" t="n">
        <v>10</v>
      </c>
      <c r="G18" s="50" t="n">
        <v>0</v>
      </c>
      <c r="H18" s="50" t="n"/>
      <c r="I18" s="51" t="n"/>
      <c r="J18" s="52" t="n"/>
      <c r="K18" s="81" t="n"/>
      <c r="L18" s="89" t="n"/>
      <c r="M18" s="103" t="n"/>
      <c r="N18" s="78" t="n"/>
      <c r="O18" s="91" t="n"/>
      <c r="P18" s="52" t="n"/>
      <c r="Q18" s="53" t="n"/>
      <c r="R18" s="94" t="n"/>
      <c r="S18" s="83" t="inlineStr">
        <is>
          <t>BR</t>
        </is>
      </c>
      <c r="T18" s="78" t="n"/>
      <c r="U18" s="97" t="n"/>
      <c r="V18" s="50" t="n"/>
      <c r="W18" s="54">
        <f>IF((B18+D18)&gt;0,B18*$B$24+C18*$C$24+IF(AND(D18&gt;0,E18=D18),$E$24,0)+IF(AND(D18&gt;0,F18=D18),$F$24,0)+G18*$G$24+IF(H18="x",$H$24,0),0)</f>
        <v/>
      </c>
      <c r="X18" s="55">
        <f>IF(I18="x",$I$24,0)+IF(J18="x",$J$24,0)</f>
        <v/>
      </c>
      <c r="Y18" s="56">
        <f>300*COUNTIF(K18:V18,"ou")+200*COUNTIF(K18:V18,"pt")+100*COUNTIF(K18:V18,"br")+300*COUNTIF(K18:V18,"ou_pt")+300*COUNTIF(K18:V18,"ou_br")+200*COUNTIF(K18:V18,"pt_br")+300*COUNTIF(K18:V18,"ou_pt_br")</f>
        <v/>
      </c>
      <c r="Z18" s="45" t="n">
        <v>0</v>
      </c>
      <c r="AA18" s="46">
        <f>IF(D18&gt;0,SUM(W18,X18,Y18,Z18),"")</f>
        <v/>
      </c>
      <c r="AB18" s="47">
        <f>IFERROR(_xlfn.RANK.EQ(AA18,AA$4:AA$22,0),"")</f>
        <v/>
      </c>
    </row>
    <row r="19" ht="16.5" customHeight="1" thickBot="1">
      <c r="A19" s="112" t="inlineStr">
        <is>
          <t>Pib Cocal</t>
        </is>
      </c>
      <c r="B19" s="37" t="n">
        <v>1</v>
      </c>
      <c r="C19" t="n">
        <v>1</v>
      </c>
      <c r="D19" s="38" t="n">
        <v>15</v>
      </c>
      <c r="E19" s="38" t="n">
        <v>15</v>
      </c>
      <c r="F19" s="38" t="n">
        <v>15</v>
      </c>
      <c r="G19" s="38" t="n">
        <v>0</v>
      </c>
      <c r="H19" s="38" t="inlineStr">
        <is>
          <t>x</t>
        </is>
      </c>
      <c r="I19" s="39" t="n"/>
      <c r="J19" s="40" t="inlineStr">
        <is>
          <t>x</t>
        </is>
      </c>
      <c r="K19" s="80" t="n"/>
      <c r="L19" s="88" t="n"/>
      <c r="M19" s="102" t="n"/>
      <c r="N19" s="77" t="n"/>
      <c r="O19" s="90" t="inlineStr">
        <is>
          <t>PT</t>
        </is>
      </c>
      <c r="P19" s="40" t="inlineStr">
        <is>
          <t>OU_BR</t>
        </is>
      </c>
      <c r="Q19" s="41" t="inlineStr">
        <is>
          <t>BR</t>
        </is>
      </c>
      <c r="R19" s="93" t="inlineStr">
        <is>
          <t>OU_PT</t>
        </is>
      </c>
      <c r="S19" s="82" t="n"/>
      <c r="T19" s="77" t="n"/>
      <c r="U19" s="96" t="n"/>
      <c r="V19" s="38" t="inlineStr">
        <is>
          <t>OU</t>
        </is>
      </c>
      <c r="W19" s="42">
        <f>IF((B19+D19)&gt;0,B19*$B$24+C19*$C$24+IF(AND(D19&gt;0,E19=D19),$E$24,0)+IF(AND(D19&gt;0,F19=D19),$F$24,0)+G19*$G$24+IF(H19="x",$H$24,0),0)</f>
        <v/>
      </c>
      <c r="X19" s="43">
        <f>IF(I19="x",$I$24,0)+IF(J19="x",$J$24,0)</f>
        <v/>
      </c>
      <c r="Y19" s="44">
        <f>300*COUNTIF(K19:V19,"ou")+200*COUNTIF(K19:V19,"pt")+100*COUNTIF(K19:V19,"br")+300*COUNTIF(K19:V19,"ou_pt")+300*COUNTIF(K19:V19,"ou_br")+200*COUNTIF(K19:V19,"pt_br")+300*COUNTIF(K19:V19,"ou_pt_br")</f>
        <v/>
      </c>
      <c r="Z19" s="45" t="n">
        <v>0</v>
      </c>
      <c r="AA19" s="46">
        <f>IF(D19&gt;0,SUM(W19,X19,Y19,Z19),"")</f>
        <v/>
      </c>
      <c r="AB19" s="47">
        <f>IFERROR(_xlfn.RANK.EQ(AA19,AA$4:AA$22,0),"")</f>
        <v/>
      </c>
    </row>
    <row r="20" ht="16.5" customHeight="1" thickBot="1">
      <c r="A20" s="114" t="inlineStr">
        <is>
          <t>Igreja batista de Santa Mônica</t>
        </is>
      </c>
      <c r="B20" s="37" t="n">
        <v>1</v>
      </c>
      <c r="C20" t="n">
        <v>1</v>
      </c>
      <c r="D20" s="50" t="n">
        <v>15</v>
      </c>
      <c r="E20" s="50" t="n">
        <v>15</v>
      </c>
      <c r="F20" s="50" t="n">
        <v>15</v>
      </c>
      <c r="G20" s="50" t="n">
        <v>2</v>
      </c>
      <c r="H20" s="50" t="n"/>
      <c r="I20" s="51" t="n"/>
      <c r="J20" s="52" t="inlineStr">
        <is>
          <t>x</t>
        </is>
      </c>
      <c r="K20" s="81" t="n"/>
      <c r="L20" s="89" t="n"/>
      <c r="M20" s="103" t="n"/>
      <c r="N20" s="78" t="n"/>
      <c r="O20" s="91" t="inlineStr">
        <is>
          <t>OU</t>
        </is>
      </c>
      <c r="P20" s="52" t="n"/>
      <c r="Q20" s="53" t="n"/>
      <c r="R20" s="94" t="n"/>
      <c r="S20" s="83" t="n"/>
      <c r="T20" s="78" t="n"/>
      <c r="U20" s="97" t="inlineStr">
        <is>
          <t>OU</t>
        </is>
      </c>
      <c r="V20" s="50" t="n"/>
      <c r="W20" s="54">
        <f>IF((B20+D20)&gt;0,B20*$B$24+C20*$C$24+IF(AND(D20&gt;0,E20=D20),$E$24,0)+IF(AND(D20&gt;0,F20=D20),$F$24,0)+G20*$G$24+IF(H20="x",$H$24,0),0)</f>
        <v/>
      </c>
      <c r="X20" s="55">
        <f>IF(I20="x",$I$24,0)+IF(J20="x",$J$24,0)</f>
        <v/>
      </c>
      <c r="Y20" s="56">
        <f>300*COUNTIF(K20:V20,"ou")+200*COUNTIF(K20:V20,"pt")+100*COUNTIF(K20:V20,"br")+300*COUNTIF(K20:V20,"ou_pt")+300*COUNTIF(K20:V20,"ou_br")+200*COUNTIF(K20:V20,"pt_br")+300*COUNTIF(K20:V20,"ou_pt_br")</f>
        <v/>
      </c>
      <c r="Z20" s="45" t="n">
        <v>0</v>
      </c>
      <c r="AA20" s="46">
        <f>IF(D20&gt;0,SUM(W20,X20,Y20,Z20),"")</f>
        <v/>
      </c>
      <c r="AB20" s="47">
        <f>IFERROR(_xlfn.RANK.EQ(AA20,AA$4:AA$22,0),"")</f>
        <v/>
      </c>
    </row>
    <row r="21" ht="15.75" customHeight="1">
      <c r="A21" s="48" t="n"/>
      <c r="B21" s="49" t="n"/>
      <c r="C21" t="n">
        <v>0</v>
      </c>
      <c r="D21" s="38" t="n"/>
      <c r="E21" s="38" t="n"/>
      <c r="F21" s="38" t="n"/>
      <c r="G21" s="38" t="n"/>
      <c r="H21" s="38" t="n"/>
      <c r="I21" s="39" t="n"/>
      <c r="J21" s="40" t="n"/>
      <c r="K21" s="80" t="n"/>
      <c r="L21" s="88" t="n"/>
      <c r="M21" s="102" t="n"/>
      <c r="N21" s="77" t="n"/>
      <c r="O21" s="90" t="n"/>
      <c r="P21" s="40" t="n"/>
      <c r="Q21" s="41" t="n"/>
      <c r="R21" s="93" t="n"/>
      <c r="S21" s="82" t="n"/>
      <c r="T21" s="77" t="n"/>
      <c r="U21" s="96" t="n"/>
      <c r="V21" s="38" t="n"/>
      <c r="W21" s="42">
        <f>IF((B21+D21)&gt;0,B21*$B$24+C21*$C$24+IF(AND(D21&gt;0,E21=D21),$E$24,0)+IF(AND(D21&gt;0,F21=D21),$F$24,0)+G21*$G$24+IF(H21="x",$H$24,0),0)</f>
        <v/>
      </c>
      <c r="X21" s="43">
        <f>IF(I21="x",$I$24,0)+IF(J21="x",$J$24,0)</f>
        <v/>
      </c>
      <c r="Y21" s="44">
        <f>300*COUNTIF(K21:V21,"ou")+200*COUNTIF(K21:V21,"pt")+100*COUNTIF(K21:V21,"br")+300*COUNTIF(K21:V21,"ou_pt")+300*COUNTIF(K21:V21,"ou_br")+200*COUNTIF(K21:V21,"pt_br")+300*COUNTIF(K21:V21,"ou_pt_br")</f>
        <v/>
      </c>
      <c r="Z21" s="45" t="inlineStr"/>
      <c r="AA21" s="58">
        <f>IF(D21&gt;0,SUM(W21,X21,Y21,Z21),"")</f>
        <v/>
      </c>
      <c r="AB21" s="59">
        <f>IFERROR(_xlfn.RANK.EQ(AA21,AA$4:AA$22,0),"")</f>
        <v/>
      </c>
    </row>
    <row r="22" ht="16.5" customHeight="1" thickBot="1">
      <c r="A22" s="61" t="n"/>
      <c r="B22" s="62" t="n"/>
      <c r="C22" t="n">
        <v>0</v>
      </c>
      <c r="D22" s="50" t="n"/>
      <c r="E22" s="50" t="n"/>
      <c r="F22" s="50" t="n"/>
      <c r="G22" s="50" t="n"/>
      <c r="H22" s="50" t="n"/>
      <c r="I22" s="51" t="n"/>
      <c r="J22" s="52" t="n"/>
      <c r="K22" s="98" t="n"/>
      <c r="L22" s="99" t="n"/>
      <c r="M22" s="104" t="n"/>
      <c r="N22" s="101" t="n"/>
      <c r="O22" s="91" t="n"/>
      <c r="P22" s="52" t="n"/>
      <c r="Q22" s="53" t="n"/>
      <c r="R22" s="95" t="n"/>
      <c r="S22" s="83" t="n"/>
      <c r="T22" s="101" t="n"/>
      <c r="U22" s="97" t="n"/>
      <c r="V22" s="50" t="n"/>
      <c r="W22" s="54">
        <f>IF((B22+D22)&gt;0,B22*$B$24+C22*$C$24+IF(AND(D22&gt;0,E22=D22),$E$24,0)+IF(AND(D22&gt;0,F22=D22),$F$24,0)+G22*$G$24+IF(H22="x",$H$24,0),0)</f>
        <v/>
      </c>
      <c r="X22" s="55">
        <f>IF(I22="x",$I$24,0)+IF(J22="x",$J$24,0)</f>
        <v/>
      </c>
      <c r="Y22" s="56">
        <f>300*COUNTIF(K22:V22,"ou")+200*COUNTIF(K22:V22,"pt")+100*COUNTIF(K22:V22,"br")+300*COUNTIF(K22:V22,"ou_pt")+300*COUNTIF(K22:V22,"ou_br")+200*COUNTIF(K22:V22,"pt_br")+300*COUNTIF(K22:V22,"ou_pt_br")</f>
        <v/>
      </c>
      <c r="Z22" s="63" t="inlineStr"/>
      <c r="AA22" s="64">
        <f>IF(D22&gt;0,SUM(W22,X22,Y22,Z22),"")</f>
        <v/>
      </c>
      <c r="AB22" s="65">
        <f>IFERROR(_xlfn.RANK.EQ(AA22,AA$4:AA$22,0),"")</f>
        <v/>
      </c>
    </row>
    <row r="23" ht="13.5" customHeight="1" thickBot="1">
      <c r="A23" s="66" t="inlineStr">
        <is>
          <t>TOTAL</t>
        </is>
      </c>
      <c r="B23" s="67" t="n"/>
      <c r="C23">
        <f>SUM(C4:C22)</f>
        <v/>
      </c>
      <c r="D23" s="68">
        <f>SUM(D4:D22)</f>
        <v/>
      </c>
      <c r="E23" s="69">
        <f>IFERROR(SUM(E4:E22)/$D$23,0)</f>
        <v/>
      </c>
      <c r="F23" s="69">
        <f>IFERROR(SUM(F4:F22)/$D$23,0)</f>
        <v/>
      </c>
      <c r="G23" s="68">
        <f>SUM(G4:G22)</f>
        <v/>
      </c>
      <c r="H23" s="70" t="inlineStr">
        <is>
          <t>-</t>
        </is>
      </c>
      <c r="I23" s="71" t="inlineStr">
        <is>
          <t>-</t>
        </is>
      </c>
      <c r="J23" s="70" t="inlineStr">
        <is>
          <t>-</t>
        </is>
      </c>
      <c r="K23" s="87" t="inlineStr">
        <is>
          <t>300*COUNTIF(K4:K22,"ou")+200*COUNTIF(K4:K22,"pt")+100*COUNTIF(K4:K22,"br")+300*COUNTIF(K4:K22,"ou_pt")+300*COUNTIF(K4:K22,"ou_br")+200*COUNTIF(K4:K22,"pt_br")+300*COUNTIF(K4:K22,"ou_pt_br")</t>
        </is>
      </c>
      <c r="L23" s="86" t="inlineStr">
        <is>
          <t>300*COUNTIF(L4:L22,"ou")+200*COUNTIF(L4:L22,"pt")+100*COUNTIF(L4:L22,"br")+300*COUNTIF(L4:L22,"ou_pt")+300*COUNTIF(L4:L22,"ou_br")+200*COUNTIF(L4:L22,"pt_br")+300*COUNTIF(L4:L22,"ou_pt_br")</t>
        </is>
      </c>
      <c r="M23" s="105" t="inlineStr">
        <is>
          <t>300*COUNTIF(M4:M22,"ou")+200*COUNTIF(M4:M22,"pt")+100*COUNTIF(M4:M22,"br")+300*COUNTIF(M4:M22,"ou_pt")+300*COUNTIF(M4:M22,"ou_br")+200*COUNTIF(M4:M22,"pt_br")+300*COUNTIF(M4:M22,"ou_pt_br")</t>
        </is>
      </c>
      <c r="N23" s="70" t="inlineStr">
        <is>
          <t>300*COUNTIF(N4:N22,"ou")+200*COUNTIF(N4:N22,"pt")+100*COUNTIF(N4:N22,"br")+300*COUNTIF(N4:N22,"ou_pt")+300*COUNTIF(N4:N22,"ou_br")+200*COUNTIF(N4:N22,"pt_br")+300*COUNTIF(N4:N22,"ou_pt_br")</t>
        </is>
      </c>
      <c r="O23" s="71" t="inlineStr">
        <is>
          <t>300*COUNTIF(O4:O22,"ou")+200*COUNTIF(O4:O22,"pt")+100*COUNTIF(O4:O22,"br")+300*COUNTIF(O4:O22,"ou_pt")+300*COUNTIF(O4:O22,"ou_br")+200*COUNTIF(O4:O22,"pt_br")+300*COUNTIF(O4:O22,"ou_pt_br")</t>
        </is>
      </c>
      <c r="P23" s="68" t="inlineStr">
        <is>
          <t>300*COUNTIF(P4:P22,"ou")+200*COUNTIF(P4:P22,"pt")+100*COUNTIF(P4:P22,"br")+300*COUNTIF(P4:P22,"ou_pt")+300*COUNTIF(P4:P22,"ou_br")+200*COUNTIF(P4:P22,"pt_br")+300*COUNTIF(P4:P22,"ou_pt_br")</t>
        </is>
      </c>
      <c r="Q23" s="72" t="inlineStr">
        <is>
          <t>300*COUNTIF(Q4:Q22,"ou")+200*COUNTIF(Q4:Q22,"pt")+100*COUNTIF(Q4:Q22,"br")+300*COUNTIF(Q4:Q22,"ou_pt")+300*COUNTIF(Q4:Q22,"ou_br")+200*COUNTIF(Q4:Q22,"pt_br")+300*COUNTIF(Q4:Q22,"ou_pt_br")</t>
        </is>
      </c>
      <c r="R23" s="68" t="inlineStr">
        <is>
          <t>300*COUNTIF(R4:R22,"ou")+200*COUNTIF(R4:R22,"pt")+100*COUNTIF(R4:R22,"br")+300*COUNTIF(R4:R22,"ou_pt")+300*COUNTIF(R4:R22,"ou_br")+200*COUNTIF(R4:R22,"pt_br")+300*COUNTIF(R4:R22,"ou_pt_br")</t>
        </is>
      </c>
      <c r="S23" s="9" t="inlineStr">
        <is>
          <t>300*COUNTIF(S4:S22,"ou")+200*COUNTIF(S4:S22,"pt")+100*COUNTIF(S4:S22,"br")+300*COUNTIF(S4:S22,"ou_pt")+300*COUNTIF(S4:S22,"ou_br")+200*COUNTIF(S4:S22,"pt_br")+300*COUNTIF(S4:S22,"ou_pt_br")</t>
        </is>
      </c>
      <c r="T23" s="68" t="inlineStr">
        <is>
          <t>300*COUNTIF(T4:T22,"ou")+200*COUNTIF(T4:T22,"pt")+100*COUNTIF(T4:T22,"br")+300*COUNTIF(T4:T22,"ou_pt")+300*COUNTIF(T4:T22,"ou_br")+200*COUNTIF(T4:T22,"pt_br")+300*COUNTIF(T4:T22,"ou_pt_br")</t>
        </is>
      </c>
      <c r="U23" s="68" t="inlineStr">
        <is>
          <t>300*COUNTIF(U4:U22,"ou")+200*COUNTIF(U4:U22,"pt")+100*COUNTIF(U4:U22,"br")+300*COUNTIF(U4:U22,"ou_pt")+300*COUNTIF(U4:U22,"ou_br")+200*COUNTIF(U4:U22,"pt_br")+300*COUNTIF(U4:U22,"ou_pt_br")</t>
        </is>
      </c>
      <c r="V23" s="68" t="inlineStr">
        <is>
          <t>300*COUNTIF(V4:V22,"ou")+200*COUNTIF(V4:V22,"pt")+100*COUNTIF(V4:V22,"br")+300*COUNTIF(V4:V22,"ou_pt")+300*COUNTIF(V4:V22,"ou_br")+200*COUNTIF(V4:V22,"pt_br")+300*COUNTIF(V4:V22,"ou_pt_br")</t>
        </is>
      </c>
    </row>
    <row r="24" ht="12.75" customHeight="1">
      <c r="A24" s="73" t="inlineStr">
        <is>
          <t>Peso</t>
        </is>
      </c>
      <c r="B24" s="74" t="n">
        <v>100</v>
      </c>
      <c r="C24" t="n">
        <v>200</v>
      </c>
      <c r="D24" s="74" t="n">
        <v>0</v>
      </c>
      <c r="E24" s="74" t="n">
        <v>50</v>
      </c>
      <c r="F24" s="74" t="n">
        <v>50</v>
      </c>
      <c r="G24" s="74" t="n">
        <v>10</v>
      </c>
      <c r="H24" s="74" t="n">
        <v>150</v>
      </c>
      <c r="I24" s="74" t="n">
        <v>-150</v>
      </c>
      <c r="J24" s="74" t="n">
        <v>-200</v>
      </c>
      <c r="K24" s="74" t="n"/>
      <c r="L24" s="74" t="n"/>
      <c r="M24" s="74" t="n"/>
      <c r="N24" s="74" t="n"/>
      <c r="O24" s="74" t="n"/>
      <c r="P24" s="74" t="n"/>
      <c r="Q24" s="74" t="n"/>
      <c r="R24" s="74" t="n"/>
      <c r="S24" s="74" t="n"/>
      <c r="T24" s="74" t="n"/>
      <c r="U24" s="74" t="n"/>
      <c r="V24" s="74" t="n"/>
      <c r="Z24" s="6" t="inlineStr">
        <is>
          <t xml:space="preserve"> </t>
        </is>
      </c>
    </row>
  </sheetData>
  <mergeCells count="7">
    <mergeCell ref="J1:L1"/>
    <mergeCell ref="B1:G2"/>
    <mergeCell ref="V1:AA2"/>
    <mergeCell ref="S1:U1"/>
    <mergeCell ref="P1:R1"/>
    <mergeCell ref="M1:O1"/>
    <mergeCell ref="H1:I2"/>
  </mergeCells>
  <conditionalFormatting sqref="B4:B22">
    <cfRule type="expression" priority="2" dxfId="1">
      <formula>$C4&gt;#REF!</formula>
    </cfRule>
  </conditionalFormatting>
  <conditionalFormatting sqref="C4:C22">
    <cfRule type="expression" priority="5" dxfId="1">
      <formula>$B4&gt;#REF!</formula>
    </cfRule>
  </conditionalFormatting>
  <conditionalFormatting sqref="C5:C22">
    <cfRule type="expression" priority="3" dxfId="1">
      <formula>$C5&gt;#REF!</formula>
    </cfRule>
  </conditionalFormatting>
  <conditionalFormatting sqref="J23:U23">
    <cfRule type="cellIs" priority="4" operator="notEqual" dxfId="0">
      <formula>600</formula>
    </cfRule>
  </conditionalFormatting>
  <dataValidations count="4">
    <dataValidation sqref="C4:F22" showDropDown="0" showInputMessage="0" showErrorMessage="1" allowBlank="1" type="decimal" operator="greaterThanOrEqual">
      <formula1>0</formula1>
      <formula2>0</formula2>
    </dataValidation>
    <dataValidation sqref="G4:I22" showDropDown="0" showInputMessage="1" showErrorMessage="1" allowBlank="1" prompt="Utilize um &quot;X&quot; para indicar o cometimento de infração!" type="list">
      <formula1>"x"</formula1>
      <formula2>0</formula2>
    </dataValidation>
    <dataValidation sqref="B4:B22" showDropDown="0" showInputMessage="1" showErrorMessage="1" allowBlank="1" type="list">
      <formula1>"pg,isento"</formula1>
      <formula2>0</formula2>
    </dataValidation>
    <dataValidation sqref="J4:U22" showDropDown="0" showInputMessage="1" showErrorMessage="1" allowBlank="1" prompt="Valores possíveis:_x000a_- OU (ouro)_x000a_- PT (prata)_x000a_- BR (bronze)_x000a__x000a_Ou também as combinações entre esses valores." type="list">
      <formula1>"OU,PT,BR,OU_PT,OU_BR,OU_PT_BR,PT_BR"</formula1>
      <formula2>0</formula2>
    </dataValidation>
  </dataValidations>
  <pageMargins left="0.511805555555556" right="0.511805555555556" top="0.7875" bottom="0.78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="140" zoomScaleNormal="140" workbookViewId="0">
      <selection activeCell="A1" sqref="A1"/>
    </sheetView>
  </sheetViews>
  <sheetFormatPr baseColWidth="8" defaultColWidth="11.5703125" defaultRowHeight="12.75"/>
  <cols>
    <col width="16.5703125" customWidth="1" min="1" max="1"/>
  </cols>
  <sheetData>
    <row r="1">
      <c r="A1" t="inlineStr">
        <is>
          <t>Embaixadas</t>
        </is>
      </c>
      <c r="B1" t="inlineStr">
        <is>
          <t>TOTAL</t>
        </is>
      </c>
      <c r="C1" t="inlineStr">
        <is>
          <t>Posição</t>
        </is>
      </c>
    </row>
    <row r="2">
      <c r="A2" t="inlineStr">
        <is>
          <t>Orla</t>
        </is>
      </c>
      <c r="B2" t="n">
        <v>2957.89473684211</v>
      </c>
      <c r="C2" t="n">
        <v>1</v>
      </c>
    </row>
    <row r="3">
      <c r="A3" t="inlineStr">
        <is>
          <t>Itaparica</t>
        </is>
      </c>
      <c r="B3" t="n">
        <v>1650</v>
      </c>
      <c r="C3" t="n">
        <v>2</v>
      </c>
    </row>
    <row r="4">
      <c r="A4" t="inlineStr">
        <is>
          <t>Jardim Asteca</t>
        </is>
      </c>
      <c r="B4" t="n">
        <v>1400</v>
      </c>
      <c r="C4" t="n">
        <v>3</v>
      </c>
    </row>
    <row r="5">
      <c r="A5" t="inlineStr">
        <is>
          <t>Vila Garrido</t>
        </is>
      </c>
      <c r="B5" t="n">
        <v>1269.23076923077</v>
      </c>
      <c r="C5" t="n">
        <v>4</v>
      </c>
    </row>
    <row r="6">
      <c r="A6" t="inlineStr">
        <is>
          <t>Vila Batista (PIB)</t>
        </is>
      </c>
      <c r="B6" t="n">
        <v>1240</v>
      </c>
      <c r="C6" t="n">
        <v>5</v>
      </c>
    </row>
    <row r="7">
      <c r="A7" t="inlineStr">
        <is>
          <t>Ibes</t>
        </is>
      </c>
      <c r="B7" t="n">
        <v>1125</v>
      </c>
      <c r="C7" t="n">
        <v>6</v>
      </c>
    </row>
    <row r="8">
      <c r="A8" t="inlineStr">
        <is>
          <t>Cobilândia (PIB)</t>
        </is>
      </c>
      <c r="B8" t="n">
        <v>1120</v>
      </c>
      <c r="C8" t="n">
        <v>7</v>
      </c>
    </row>
    <row r="9">
      <c r="A9" t="inlineStr">
        <is>
          <t>Vinte Três de Maio</t>
        </is>
      </c>
      <c r="B9" t="n">
        <v>1100</v>
      </c>
      <c r="C9" t="n">
        <v>8</v>
      </c>
    </row>
    <row r="10">
      <c r="A10" t="inlineStr">
        <is>
          <t>Ataíde (PIB)</t>
        </is>
      </c>
      <c r="B10" t="n">
        <v>1050</v>
      </c>
      <c r="C10" t="n">
        <v>9</v>
      </c>
    </row>
    <row r="11">
      <c r="A11" t="inlineStr">
        <is>
          <t>Vila Batista (SIB)</t>
        </is>
      </c>
      <c r="B11" t="n">
        <v>1040</v>
      </c>
      <c r="C11" t="n">
        <v>10</v>
      </c>
    </row>
    <row r="12">
      <c r="A12" t="inlineStr">
        <is>
          <t>Argolas</t>
        </is>
      </c>
      <c r="B12" t="n">
        <v>830</v>
      </c>
      <c r="C12" t="n">
        <v>11</v>
      </c>
    </row>
    <row r="13">
      <c r="A13" t="inlineStr">
        <is>
          <t>Aribiri</t>
        </is>
      </c>
      <c r="B13" t="n">
        <v>700</v>
      </c>
      <c r="C13" t="n">
        <v>12</v>
      </c>
    </row>
    <row r="14">
      <c r="A14" t="inlineStr">
        <is>
          <t>Divino ES</t>
        </is>
      </c>
      <c r="B14" t="n">
        <v>700</v>
      </c>
      <c r="C14" t="n">
        <v>12</v>
      </c>
    </row>
    <row r="15">
      <c r="A15" t="n">
        <v>0</v>
      </c>
    </row>
  </sheetData>
  <pageMargins left="0.7875" right="0.7875" top="1.05277777777778" bottom="1.05277777777778" header="0.7875" footer="0.7875"/>
  <pageSetup orientation="portrait" paperSize="9" horizontalDpi="300" verticalDpi="300"/>
  <headerFooter>
    <oddHeader>&amp;C&amp;"Times New Roman,Normal"&amp;12 &amp;Kffffff&amp;A</oddHeader>
    <oddFooter>&amp;C&amp;"Times New Roman,Normal"&amp;12 &amp;KffffffPágina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zoomScale="140" zoomScaleNormal="140" workbookViewId="0">
      <selection activeCell="D1" sqref="D1"/>
    </sheetView>
  </sheetViews>
  <sheetFormatPr baseColWidth="8" defaultColWidth="11.5703125" defaultRowHeight="12.75"/>
  <sheetData>
    <row r="1">
      <c r="A1" t="inlineStr">
        <is>
          <t>Pib 23 de maio</t>
        </is>
      </c>
      <c r="B1" t="n">
        <v>1225</v>
      </c>
      <c r="C1" t="n">
        <v>2</v>
      </c>
      <c r="D1" t="inlineStr">
        <is>
          <t>2ex</t>
        </is>
      </c>
    </row>
    <row r="2">
      <c r="A2" t="inlineStr">
        <is>
          <t>Primeira Igreja Batista em Alecrim</t>
        </is>
      </c>
      <c r="B2" t="n">
        <v>600</v>
      </c>
      <c r="C2" t="n">
        <v>10</v>
      </c>
    </row>
    <row r="3">
      <c r="A3" t="inlineStr">
        <is>
          <t>Jardim Asteca</t>
        </is>
      </c>
      <c r="B3" t="n">
        <v>840</v>
      </c>
      <c r="C3" t="n">
        <v>6</v>
      </c>
    </row>
    <row r="4">
      <c r="A4" t="inlineStr">
        <is>
          <t>Igreja Batista em Paul</t>
        </is>
      </c>
      <c r="B4" t="n">
        <v>450</v>
      </c>
      <c r="C4" t="n">
        <v>15</v>
      </c>
    </row>
    <row r="5">
      <c r="A5" t="inlineStr">
        <is>
          <t>Igreja Batista em Novo México</t>
        </is>
      </c>
      <c r="B5" t="n">
        <v>800</v>
      </c>
      <c r="C5" t="n">
        <v>7</v>
      </c>
    </row>
    <row r="6">
      <c r="A6" t="inlineStr">
        <is>
          <t>PIB em Cobilândia</t>
        </is>
      </c>
      <c r="B6" t="n">
        <v>800</v>
      </c>
      <c r="C6" t="n">
        <v>7</v>
      </c>
    </row>
    <row r="7">
      <c r="A7" t="inlineStr">
        <is>
          <t>Igreja Batista em Araçás</t>
        </is>
      </c>
      <c r="B7" t="n">
        <v>662.5</v>
      </c>
      <c r="C7" t="n">
        <v>9</v>
      </c>
    </row>
    <row r="8">
      <c r="A8" t="inlineStr">
        <is>
          <t>PIB Itaparica</t>
        </is>
      </c>
      <c r="B8" t="n">
        <v>560</v>
      </c>
      <c r="C8" t="n">
        <v>14</v>
      </c>
    </row>
    <row r="9">
      <c r="A9" t="inlineStr">
        <is>
          <t>Igreja Batista do Ibes</t>
        </is>
      </c>
      <c r="B9" t="n">
        <v>1200</v>
      </c>
      <c r="C9" t="n">
        <v>3</v>
      </c>
    </row>
    <row r="10">
      <c r="A10" t="inlineStr">
        <is>
          <t>Igreja Batista de Capuaba</t>
        </is>
      </c>
      <c r="B10" t="n">
        <v>600</v>
      </c>
      <c r="C10" t="n">
        <v>10</v>
      </c>
    </row>
    <row r="11">
      <c r="A11" t="inlineStr">
        <is>
          <t>PIB Aribiri</t>
        </is>
      </c>
      <c r="B11" t="n">
        <v>342.857142857143</v>
      </c>
      <c r="C11" t="n">
        <v>16</v>
      </c>
    </row>
    <row r="12">
      <c r="A12" t="inlineStr">
        <is>
          <t>PIB de Vila Batista</t>
        </is>
      </c>
      <c r="B12" t="n">
        <v>1200</v>
      </c>
      <c r="C12" t="n">
        <v>3</v>
      </c>
    </row>
    <row r="13">
      <c r="A13" t="inlineStr">
        <is>
          <t>Batista da Glória</t>
        </is>
      </c>
    </row>
    <row r="14">
      <c r="A14" t="inlineStr">
        <is>
          <t>Batista Aliança</t>
        </is>
      </c>
      <c r="B14" t="n">
        <v>600</v>
      </c>
      <c r="C14" t="n">
        <v>10</v>
      </c>
    </row>
    <row r="15">
      <c r="A15" t="inlineStr">
        <is>
          <t>Igreja Batista em Jardim Marilândia</t>
        </is>
      </c>
      <c r="B15" t="n">
        <v>600</v>
      </c>
      <c r="C15" t="n">
        <v>10</v>
      </c>
    </row>
    <row r="16">
      <c r="A16" t="inlineStr">
        <is>
          <t>PIB Itapoã (Igreja da Orla)</t>
        </is>
      </c>
      <c r="B16" t="n">
        <v>1800</v>
      </c>
      <c r="C16" t="n">
        <v>1</v>
      </c>
      <c r="D16" t="n">
        <v>1</v>
      </c>
    </row>
    <row r="17">
      <c r="A17" t="inlineStr">
        <is>
          <t>Garrido</t>
        </is>
      </c>
      <c r="B17" t="n">
        <v>1100</v>
      </c>
      <c r="C17" t="n">
        <v>5</v>
      </c>
    </row>
    <row r="18">
      <c r="A18" t="inlineStr">
        <is>
          <t>Alvorada</t>
        </is>
      </c>
      <c r="B18" t="n">
        <v>300</v>
      </c>
      <c r="C18" t="n">
        <v>17</v>
      </c>
    </row>
  </sheetData>
  <pageMargins left="0.7875" right="0.7875" top="1.05277777777778" bottom="1.05277777777778" header="0.7875" footer="0.7875"/>
  <pageSetup orientation="portrait" paperSize="9" horizontalDpi="300" verticalDpi="300"/>
  <headerFooter>
    <oddHeader>&amp;C&amp;"Times New Roman,Normal"&amp;12 &amp;Kffffff&amp;A</oddHeader>
    <oddFooter>&amp;C&amp;"Times New Roman,Normal"&amp;12 &amp;KffffffPágina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WEVERSON FERRARI</dc:creator>
  <dc:language xmlns:dc="http://purl.org/dc/elements/1.1/">pt-BR</dc:language>
  <dcterms:created xmlns:dcterms="http://purl.org/dc/terms/" xmlns:xsi="http://www.w3.org/2001/XMLSchema-instance" xsi:type="dcterms:W3CDTF">2023-05-30T13:30:18Z</dcterms:created>
  <dcterms:modified xmlns:dcterms="http://purl.org/dc/terms/" xmlns:xsi="http://www.w3.org/2001/XMLSchema-instance" xsi:type="dcterms:W3CDTF">2026-04-10T21:17:53Z</dcterms:modified>
  <cp:lastModifiedBy>Ana Paula</cp:lastModifiedBy>
  <cp:revision>4</cp:revision>
</cp:coreProperties>
</file>