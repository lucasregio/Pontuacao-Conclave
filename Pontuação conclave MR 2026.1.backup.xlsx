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tr\Downloads\"/>
    </mc:Choice>
  </mc:AlternateContent>
  <xr:revisionPtr revIDLastSave="0" documentId="8_{07F24D49-1832-45B6-8A7D-1429131B9C8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incana" sheetId="1" r:id="rId1"/>
    <sheet name="Planilha2" sheetId="2" r:id="rId2"/>
    <sheet name="Planilha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23" i="1" l="1"/>
  <c r="U23" i="1"/>
  <c r="V4" i="1"/>
  <c r="S23" i="1"/>
  <c r="R23" i="1"/>
  <c r="Q23" i="1"/>
  <c r="P23" i="1"/>
  <c r="O23" i="1"/>
  <c r="N23" i="1"/>
  <c r="M23" i="1"/>
  <c r="L23" i="1"/>
  <c r="K23" i="1"/>
  <c r="J23" i="1"/>
  <c r="F23" i="1"/>
  <c r="C23" i="1"/>
  <c r="D23" i="1" s="1"/>
  <c r="Z22" i="1"/>
  <c r="AA22" i="1" s="1"/>
  <c r="Y22" i="1"/>
  <c r="X22" i="1"/>
  <c r="W22" i="1"/>
  <c r="V22" i="1"/>
  <c r="Y20" i="1"/>
  <c r="X20" i="1"/>
  <c r="W20" i="1"/>
  <c r="V20" i="1"/>
  <c r="Y19" i="1"/>
  <c r="X19" i="1"/>
  <c r="W19" i="1"/>
  <c r="V19" i="1"/>
  <c r="Y18" i="1"/>
  <c r="X18" i="1"/>
  <c r="W18" i="1"/>
  <c r="V18" i="1"/>
  <c r="Y17" i="1"/>
  <c r="X17" i="1"/>
  <c r="W17" i="1"/>
  <c r="V17" i="1"/>
  <c r="Z16" i="1"/>
  <c r="AA16" i="1" s="1"/>
  <c r="Y16" i="1"/>
  <c r="X16" i="1"/>
  <c r="W16" i="1"/>
  <c r="V16" i="1"/>
  <c r="Y15" i="1"/>
  <c r="X15" i="1"/>
  <c r="W15" i="1"/>
  <c r="V15" i="1"/>
  <c r="Y14" i="1"/>
  <c r="X14" i="1"/>
  <c r="W14" i="1"/>
  <c r="V14" i="1"/>
  <c r="Y13" i="1"/>
  <c r="X13" i="1"/>
  <c r="W13" i="1"/>
  <c r="V13" i="1"/>
  <c r="Y12" i="1"/>
  <c r="X12" i="1"/>
  <c r="W12" i="1"/>
  <c r="V12" i="1"/>
  <c r="Y11" i="1"/>
  <c r="X11" i="1"/>
  <c r="W11" i="1"/>
  <c r="V11" i="1"/>
  <c r="Y10" i="1"/>
  <c r="X10" i="1"/>
  <c r="W10" i="1"/>
  <c r="V10" i="1"/>
  <c r="Y9" i="1"/>
  <c r="X9" i="1"/>
  <c r="W9" i="1"/>
  <c r="V9" i="1"/>
  <c r="Y8" i="1"/>
  <c r="X8" i="1"/>
  <c r="W8" i="1"/>
  <c r="V8" i="1"/>
  <c r="Y7" i="1"/>
  <c r="X7" i="1"/>
  <c r="W7" i="1"/>
  <c r="V7" i="1"/>
  <c r="Y6" i="1"/>
  <c r="X6" i="1"/>
  <c r="W6" i="1"/>
  <c r="V6" i="1"/>
  <c r="Y5" i="1"/>
  <c r="X5" i="1"/>
  <c r="W5" i="1"/>
  <c r="V5" i="1"/>
  <c r="Y4" i="1"/>
  <c r="X4" i="1"/>
  <c r="W4" i="1"/>
  <c r="Z6" i="1" l="1"/>
  <c r="E23" i="1"/>
  <c r="Z14" i="1"/>
  <c r="Z7" i="1"/>
  <c r="Z9" i="1"/>
  <c r="Z11" i="1"/>
  <c r="Z13" i="1"/>
  <c r="Z15" i="1"/>
  <c r="Z18" i="1"/>
  <c r="Z20" i="1"/>
  <c r="Z4" i="1"/>
  <c r="Z8" i="1"/>
  <c r="Z17" i="1"/>
  <c r="Z12" i="1"/>
  <c r="Z10" i="1"/>
  <c r="Z19" i="1"/>
  <c r="Z5" i="1"/>
  <c r="AA14" i="1" l="1"/>
  <c r="AA18" i="1"/>
  <c r="AA9" i="1"/>
  <c r="AA4" i="1"/>
  <c r="AA12" i="1"/>
  <c r="AA10" i="1"/>
  <c r="AA7" i="1"/>
  <c r="AA19" i="1"/>
  <c r="AA13" i="1"/>
  <c r="AA8" i="1"/>
  <c r="AA6" i="1"/>
  <c r="AA20" i="1"/>
  <c r="AA17" i="1"/>
  <c r="AA5" i="1"/>
  <c r="AA11" i="1"/>
  <c r="AA15" i="1"/>
</calcChain>
</file>

<file path=xl/sharedStrings.xml><?xml version="1.0" encoding="utf-8"?>
<sst xmlns="http://schemas.openxmlformats.org/spreadsheetml/2006/main" count="124" uniqueCount="79">
  <si>
    <t>PARTICIPAÇÃO</t>
  </si>
  <si>
    <t>PUNIÇÕES</t>
  </si>
  <si>
    <t>Esgrima Bíblica</t>
  </si>
  <si>
    <t>Debate Vers.</t>
  </si>
  <si>
    <t>Pontuação</t>
  </si>
  <si>
    <t>Embaixadas</t>
  </si>
  <si>
    <t>Mau Comportamento</t>
  </si>
  <si>
    <t>Check-in após 14h</t>
  </si>
  <si>
    <t>Particip.</t>
  </si>
  <si>
    <t>Puniç.</t>
  </si>
  <si>
    <t>Gincana Bíblica</t>
  </si>
  <si>
    <t>TOTAL</t>
  </si>
  <si>
    <t>Posição</t>
  </si>
  <si>
    <t>Pib 23 de maio</t>
  </si>
  <si>
    <t>x</t>
  </si>
  <si>
    <t>OU</t>
  </si>
  <si>
    <t>Primeira Igreja Batista em Alecrim</t>
  </si>
  <si>
    <t>Jardim Asteca</t>
  </si>
  <si>
    <t>PT</t>
  </si>
  <si>
    <t>Igreja Batista em Paul</t>
  </si>
  <si>
    <t>Igreja Batista em Novo México</t>
  </si>
  <si>
    <t>PIB em Cobilândia</t>
  </si>
  <si>
    <t>BR</t>
  </si>
  <si>
    <t>Igreja Batista em Araçás</t>
  </si>
  <si>
    <t>PIB Itaparica</t>
  </si>
  <si>
    <t>Igreja Batista do Ibes</t>
  </si>
  <si>
    <t>OU_PT</t>
  </si>
  <si>
    <t>Igreja Batista de Capuaba</t>
  </si>
  <si>
    <t>PIB Aribiri</t>
  </si>
  <si>
    <t>PIB de Vila Batista</t>
  </si>
  <si>
    <t>Batista da Glória</t>
  </si>
  <si>
    <t>Batista Aliança</t>
  </si>
  <si>
    <t>Igreja Batista em Jardim Marilândia</t>
  </si>
  <si>
    <t>PIB Itapoã (Igreja da Orla)</t>
  </si>
  <si>
    <t>OU_BR</t>
  </si>
  <si>
    <t>Garrido</t>
  </si>
  <si>
    <t>Alvorada</t>
  </si>
  <si>
    <t>-</t>
  </si>
  <si>
    <t>Peso</t>
  </si>
  <si>
    <t>Orla</t>
  </si>
  <si>
    <t>Itaparica</t>
  </si>
  <si>
    <t>Vila Garrido</t>
  </si>
  <si>
    <t>Vila Batista (PIB)</t>
  </si>
  <si>
    <t>Ibes</t>
  </si>
  <si>
    <t>Cobilândia (PIB)</t>
  </si>
  <si>
    <t>Vinte Três de Maio</t>
  </si>
  <si>
    <t>Ataíde (PIB)</t>
  </si>
  <si>
    <t>Vila Batista (SIB)</t>
  </si>
  <si>
    <t>Argolas</t>
  </si>
  <si>
    <t>Aribiri</t>
  </si>
  <si>
    <t>Divino ES</t>
  </si>
  <si>
    <t>2ex</t>
  </si>
  <si>
    <t xml:space="preserve"> </t>
  </si>
  <si>
    <t>Esgrima Bíblica Avançada</t>
  </si>
  <si>
    <t>Prova Escrita</t>
  </si>
  <si>
    <t>Jun</t>
  </si>
  <si>
    <t>Adl</t>
  </si>
  <si>
    <t>Juv</t>
  </si>
  <si>
    <t>OMR</t>
  </si>
  <si>
    <t>MR c/ camisa</t>
  </si>
  <si>
    <t>MR c/ bíblia</t>
  </si>
  <si>
    <t>VISIT</t>
  </si>
  <si>
    <t>Primeira Igreja Batista Aliança</t>
  </si>
  <si>
    <t>Igreja Batista da Glória</t>
  </si>
  <si>
    <t>Igreja da Orla</t>
  </si>
  <si>
    <t>Vila Batista</t>
  </si>
  <si>
    <t>Primeira Igreja Batista em Vila Garrido</t>
  </si>
  <si>
    <t>Novo México</t>
  </si>
  <si>
    <t>Igreja Batista de Santa Rita</t>
  </si>
  <si>
    <t>Primeira igreja Batista 23 de maio</t>
  </si>
  <si>
    <t>batista Guaranhuns</t>
  </si>
  <si>
    <t>Primeira Igreja Batista em João Goulart (PIBJG)</t>
  </si>
  <si>
    <t>Primeira Igreja Batista em Brunellas</t>
  </si>
  <si>
    <t>Pib Cobilandia</t>
  </si>
  <si>
    <t>Primeira igreja Batista em Alvorada</t>
  </si>
  <si>
    <t>Pib Cocal</t>
  </si>
  <si>
    <t>Igreja batista de Santa Mônica</t>
  </si>
  <si>
    <t>Animação</t>
  </si>
  <si>
    <t>M.R.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</si>
</sst>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º"/>
  </numFmts>
  <fonts count="7" x14ac:knownFonts="1">
    <font>
      <sz val="10"/>
      <color rgb="FF000000"/>
      <name val="Arial"/>
      <charset val="1"/>
    </font>
    <font>
      <sz val="10"/>
      <color rgb="FF000000"/>
      <name val="Arial Narrow"/>
      <family val="2"/>
      <charset val="1"/>
    </font>
    <font>
      <sz val="12"/>
      <color rgb="FF000000"/>
      <name val="Arial Narrow"/>
      <charset val="1"/>
    </font>
    <font>
      <b/>
      <sz val="10"/>
      <color rgb="FF000000"/>
      <name val="Arial Narrow"/>
      <family val="2"/>
      <charset val="1"/>
    </font>
    <font>
      <sz val="10"/>
      <color rgb="FFFFFFFF"/>
      <name val="Arial Narrow"/>
      <family val="2"/>
      <charset val="1"/>
    </font>
    <font>
      <sz val="10"/>
      <color rgb="FF81160D"/>
      <name val="Arial Narrow"/>
      <family val="2"/>
      <charset val="1"/>
    </font>
    <font>
      <sz val="10"/>
      <color rgb="FF434343"/>
      <name val="Roboto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D8D8D8"/>
      </patternFill>
    </fill>
    <fill>
      <patternFill patternType="solid">
        <fgColor rgb="FFFFFFFF"/>
        <bgColor rgb="FFFFFFCC"/>
      </patternFill>
    </fill>
    <fill>
      <patternFill patternType="solid">
        <fgColor rgb="FFD8D8D8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rgb="FFA5A5A5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A5A5A5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A5A5A5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rgb="FFA5A5A5"/>
      </right>
      <top/>
      <bottom style="medium">
        <color auto="1"/>
      </bottom>
      <diagonal/>
    </border>
    <border>
      <left style="thin">
        <color rgb="FFA5A5A5"/>
      </left>
      <right/>
      <top/>
      <bottom style="medium">
        <color auto="1"/>
      </bottom>
      <diagonal/>
    </border>
    <border>
      <left style="thin">
        <color rgb="FFA5A5A5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A5A5A5"/>
      </right>
      <top/>
      <bottom style="medium">
        <color auto="1"/>
      </bottom>
      <diagonal/>
    </border>
    <border>
      <left/>
      <right style="thin">
        <color rgb="FFA5A5A5"/>
      </right>
      <top style="medium">
        <color auto="1"/>
      </top>
      <bottom/>
      <diagonal/>
    </border>
    <border>
      <left style="medium">
        <color auto="1"/>
      </left>
      <right style="thin">
        <color rgb="FFA5A5A5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A5A5A5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BFBFBF"/>
      </right>
      <top style="medium">
        <color auto="1"/>
      </top>
      <bottom style="thin">
        <color rgb="FFBFBFBF"/>
      </bottom>
      <diagonal/>
    </border>
    <border>
      <left style="medium">
        <color auto="1"/>
      </left>
      <right style="thin">
        <color rgb="FFA5A5A5"/>
      </right>
      <top style="medium">
        <color auto="1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medium">
        <color auto="1"/>
      </top>
      <bottom style="thin">
        <color rgb="FFA5A5A5"/>
      </bottom>
      <diagonal/>
    </border>
    <border>
      <left style="thin">
        <color rgb="FFBFBFBF"/>
      </left>
      <right style="medium">
        <color auto="1"/>
      </right>
      <top style="medium">
        <color auto="1"/>
      </top>
      <bottom style="thin">
        <color rgb="FFBFBFBF"/>
      </bottom>
      <diagonal/>
    </border>
    <border>
      <left style="medium">
        <color auto="1"/>
      </left>
      <right style="thin">
        <color rgb="FFBFBFBF"/>
      </right>
      <top style="medium">
        <color auto="1"/>
      </top>
      <bottom style="thin">
        <color rgb="FFA5A5A5"/>
      </bottom>
      <diagonal/>
    </border>
    <border>
      <left style="thin">
        <color rgb="FFA5A5A5"/>
      </left>
      <right style="medium">
        <color auto="1"/>
      </right>
      <top style="medium">
        <color auto="1"/>
      </top>
      <bottom style="thin">
        <color rgb="FFA5A5A5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BFBFBF"/>
      </bottom>
      <diagonal/>
    </border>
    <border>
      <left/>
      <right style="medium">
        <color auto="1"/>
      </right>
      <top style="medium">
        <color auto="1"/>
      </top>
      <bottom style="thin">
        <color rgb="FFA5A5A5"/>
      </bottom>
      <diagonal/>
    </border>
    <border>
      <left style="medium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BFBFBF"/>
      </left>
      <right style="medium">
        <color auto="1"/>
      </right>
      <top/>
      <bottom style="thin">
        <color rgb="FFBFBFBF"/>
      </bottom>
      <diagonal/>
    </border>
    <border>
      <left style="medium">
        <color auto="1"/>
      </left>
      <right style="thin">
        <color rgb="FFBFBFBF"/>
      </right>
      <top/>
      <bottom style="thin">
        <color rgb="FFBFBFBF"/>
      </bottom>
      <diagonal/>
    </border>
    <border>
      <left style="medium">
        <color auto="1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auto="1"/>
      </right>
      <top style="thin">
        <color rgb="FFA5A5A5"/>
      </top>
      <bottom style="thin">
        <color rgb="FFA5A5A5"/>
      </bottom>
      <diagonal/>
    </border>
    <border>
      <left style="medium">
        <color auto="1"/>
      </left>
      <right style="medium">
        <color auto="1"/>
      </right>
      <top/>
      <bottom style="thin">
        <color rgb="FFBFBFBF"/>
      </bottom>
      <diagonal/>
    </border>
    <border>
      <left style="medium">
        <color auto="1"/>
      </left>
      <right style="medium">
        <color auto="1"/>
      </right>
      <top/>
      <bottom style="thin">
        <color rgb="FFA5A5A5"/>
      </bottom>
      <diagonal/>
    </border>
    <border>
      <left/>
      <right style="medium">
        <color auto="1"/>
      </right>
      <top/>
      <bottom style="thin">
        <color rgb="FFA5A5A5"/>
      </bottom>
      <diagonal/>
    </border>
    <border>
      <left style="medium">
        <color auto="1"/>
      </left>
      <right style="medium">
        <color auto="1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thin">
        <color rgb="FFA5A5A5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BFBFBF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BFBFBF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rgb="FFBFBFBF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rgb="FFBFBFBF"/>
      </bottom>
      <diagonal/>
    </border>
    <border>
      <left/>
      <right style="medium">
        <color auto="1"/>
      </right>
      <top/>
      <bottom style="thin">
        <color rgb="FFBFBFBF"/>
      </bottom>
      <diagonal/>
    </border>
    <border>
      <left style="thin">
        <color rgb="FFA5A5A5"/>
      </left>
      <right/>
      <top/>
      <bottom/>
      <diagonal/>
    </border>
    <border>
      <left style="medium">
        <color auto="1"/>
      </left>
      <right style="thin">
        <color rgb="FFBFBFBF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A5A5A5"/>
      </left>
      <right/>
      <top style="medium">
        <color auto="1"/>
      </top>
      <bottom style="medium">
        <color auto="1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/>
      <bottom style="medium">
        <color auto="1"/>
      </bottom>
      <diagonal/>
    </border>
    <border>
      <left/>
      <right/>
      <top/>
      <bottom style="thin">
        <color rgb="FFA5A5A5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BFBFBF"/>
      </right>
      <top/>
      <bottom style="thin">
        <color rgb="FFA5A5A5"/>
      </bottom>
      <diagonal/>
    </border>
    <border>
      <left style="medium">
        <color auto="1"/>
      </left>
      <right style="thin">
        <color rgb="FFBFBFB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vertical="center" wrapText="1"/>
    </xf>
    <xf numFmtId="0" fontId="1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" fontId="1" fillId="3" borderId="21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3" fontId="5" fillId="0" borderId="23" xfId="0" applyNumberFormat="1" applyFont="1" applyBorder="1" applyAlignment="1">
      <alignment vertical="center"/>
    </xf>
    <xf numFmtId="3" fontId="1" fillId="0" borderId="4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" fontId="1" fillId="4" borderId="30" xfId="0" applyNumberFormat="1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3" fontId="5" fillId="4" borderId="33" xfId="0" applyNumberFormat="1" applyFont="1" applyFill="1" applyBorder="1" applyAlignment="1">
      <alignment vertical="center"/>
    </xf>
    <xf numFmtId="3" fontId="1" fillId="4" borderId="34" xfId="0" applyNumberFormat="1" applyFont="1" applyFill="1" applyBorder="1" applyAlignment="1">
      <alignment horizontal="center" vertical="center"/>
    </xf>
    <xf numFmtId="164" fontId="1" fillId="4" borderId="35" xfId="0" applyNumberFormat="1" applyFont="1" applyFill="1" applyBorder="1" applyAlignment="1">
      <alignment horizontal="center" vertical="center"/>
    </xf>
    <xf numFmtId="0" fontId="1" fillId="0" borderId="25" xfId="0" applyFont="1" applyBorder="1" applyAlignment="1" applyProtection="1">
      <alignment horizontal="left" vertical="center"/>
      <protection locked="0"/>
    </xf>
    <xf numFmtId="0" fontId="1" fillId="0" borderId="30" xfId="0" applyFont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1" fontId="1" fillId="0" borderId="30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3" fontId="5" fillId="0" borderId="36" xfId="0" applyNumberFormat="1" applyFont="1" applyBorder="1" applyAlignment="1">
      <alignment vertical="center"/>
    </xf>
    <xf numFmtId="3" fontId="1" fillId="0" borderId="34" xfId="0" applyNumberFormat="1" applyFont="1" applyBorder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3" fontId="1" fillId="0" borderId="0" xfId="0" applyNumberFormat="1" applyFont="1"/>
    <xf numFmtId="3" fontId="1" fillId="4" borderId="34" xfId="0" applyNumberFormat="1" applyFont="1" applyFill="1" applyBorder="1" applyAlignment="1">
      <alignment horizontal="left" vertical="center"/>
    </xf>
    <xf numFmtId="0" fontId="1" fillId="4" borderId="37" xfId="0" applyFont="1" applyFill="1" applyBorder="1" applyAlignment="1">
      <alignment horizontal="center" vertical="center"/>
    </xf>
    <xf numFmtId="3" fontId="5" fillId="4" borderId="38" xfId="0" applyNumberFormat="1" applyFont="1" applyFill="1" applyBorder="1" applyAlignment="1">
      <alignment vertical="center"/>
    </xf>
    <xf numFmtId="3" fontId="1" fillId="4" borderId="38" xfId="0" applyNumberFormat="1" applyFont="1" applyFill="1" applyBorder="1" applyAlignment="1">
      <alignment horizontal="center" vertical="center"/>
    </xf>
    <xf numFmtId="164" fontId="1" fillId="4" borderId="39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9" fontId="1" fillId="2" borderId="5" xfId="0" applyNumberFormat="1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4" fillId="2" borderId="43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2" fillId="0" borderId="53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/>
    </xf>
    <xf numFmtId="0" fontId="2" fillId="4" borderId="54" xfId="0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/>
    </xf>
    <xf numFmtId="1" fontId="2" fillId="3" borderId="56" xfId="0" applyNumberFormat="1" applyFont="1" applyFill="1" applyBorder="1" applyAlignment="1">
      <alignment horizontal="center" vertical="center"/>
    </xf>
    <xf numFmtId="1" fontId="2" fillId="4" borderId="56" xfId="0" applyNumberFormat="1" applyFont="1" applyFill="1" applyBorder="1" applyAlignment="1">
      <alignment horizontal="center" vertical="center"/>
    </xf>
    <xf numFmtId="0" fontId="2" fillId="4" borderId="50" xfId="0" applyFont="1" applyFill="1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4" borderId="58" xfId="0" applyFont="1" applyFill="1" applyBorder="1" applyAlignment="1">
      <alignment horizontal="center" vertical="center"/>
    </xf>
    <xf numFmtId="0" fontId="2" fillId="4" borderId="5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1" fontId="2" fillId="3" borderId="59" xfId="0" applyNumberFormat="1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6" fillId="6" borderId="61" xfId="0" applyFont="1" applyFill="1" applyBorder="1" applyAlignment="1">
      <alignment vertical="center" wrapText="1"/>
    </xf>
    <xf numFmtId="0" fontId="6" fillId="7" borderId="62" xfId="0" applyFont="1" applyFill="1" applyBorder="1" applyAlignment="1">
      <alignment vertical="center" wrapText="1"/>
    </xf>
    <xf numFmtId="0" fontId="6" fillId="6" borderId="63" xfId="0" applyFont="1" applyFill="1" applyBorder="1" applyAlignment="1">
      <alignment vertical="center" wrapText="1"/>
    </xf>
    <xf numFmtId="0" fontId="6" fillId="6" borderId="64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ont>
        <b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1160D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"/>
  <sheetViews>
    <sheetView tabSelected="1" zoomScale="140" zoomScaleNormal="140" workbookViewId="0">
      <pane xSplit="1" topLeftCell="B1" activePane="topRight" state="frozen"/>
      <selection pane="topRight" activeCell="E8" sqref="E8"/>
    </sheetView>
  </sheetViews>
  <sheetFormatPr defaultColWidth="9.140625" defaultRowHeight="12.75" x14ac:dyDescent="0.2"/>
  <cols>
    <col min="1" max="1" width="28.140625" style="6" customWidth="1"/>
    <col min="2" max="2" width="6.140625" style="6" customWidth="1"/>
    <col min="3" max="3" width="6.42578125" style="6" customWidth="1"/>
    <col min="4" max="4" width="7.85546875" style="6" customWidth="1"/>
    <col min="5" max="5" width="8.42578125" style="6" customWidth="1"/>
    <col min="6" max="6" width="7.28515625" style="6" customWidth="1"/>
    <col min="7" max="7" width="9.85546875" style="6" customWidth="1"/>
    <col min="8" max="8" width="9" style="6" customWidth="1"/>
    <col min="9" max="9" width="9.140625" style="6"/>
    <col min="10" max="12" width="6.85546875" style="6" customWidth="1"/>
    <col min="13" max="13" width="9.7109375" style="6" customWidth="1"/>
    <col min="14" max="19" width="6.85546875" style="6" customWidth="1"/>
    <col min="20" max="20" width="8.5703125" style="6" customWidth="1"/>
    <col min="21" max="24" width="7" style="6" customWidth="1"/>
    <col min="25" max="25" width="34" style="6" customWidth="1"/>
    <col min="26" max="26" width="8.140625" style="6" customWidth="1"/>
    <col min="27" max="27" width="10.140625" style="6" customWidth="1"/>
    <col min="28" max="16384" width="9.140625" style="6"/>
  </cols>
  <sheetData>
    <row r="1" spans="1:29" ht="12.75" customHeight="1" thickBot="1" x14ac:dyDescent="0.25">
      <c r="A1" s="7"/>
      <c r="B1" s="5" t="s">
        <v>0</v>
      </c>
      <c r="C1" s="5"/>
      <c r="D1" s="5"/>
      <c r="E1" s="5"/>
      <c r="F1" s="5"/>
      <c r="G1" s="5"/>
      <c r="H1" s="4" t="s">
        <v>1</v>
      </c>
      <c r="I1" s="4"/>
      <c r="J1" s="3" t="s">
        <v>2</v>
      </c>
      <c r="K1" s="3"/>
      <c r="L1" s="3"/>
      <c r="M1" s="2" t="s">
        <v>3</v>
      </c>
      <c r="N1" s="2"/>
      <c r="O1" s="2"/>
      <c r="P1" s="3" t="s">
        <v>53</v>
      </c>
      <c r="Q1" s="3"/>
      <c r="R1" s="3"/>
      <c r="S1" s="3" t="s">
        <v>54</v>
      </c>
      <c r="T1" s="3"/>
      <c r="U1" s="3"/>
      <c r="V1" s="1" t="s">
        <v>4</v>
      </c>
      <c r="W1" s="1"/>
      <c r="X1" s="1"/>
      <c r="Y1" s="1"/>
      <c r="Z1" s="1"/>
      <c r="AA1" s="1"/>
    </row>
    <row r="2" spans="1:29" ht="13.5" thickBot="1" x14ac:dyDescent="0.25">
      <c r="A2" s="10"/>
      <c r="B2" s="5"/>
      <c r="C2" s="5"/>
      <c r="D2" s="5"/>
      <c r="E2" s="5"/>
      <c r="F2" s="5"/>
      <c r="G2" s="5"/>
      <c r="H2" s="4"/>
      <c r="I2" s="4"/>
      <c r="J2" s="11">
        <v>1</v>
      </c>
      <c r="K2" s="84">
        <v>2</v>
      </c>
      <c r="L2" s="85">
        <v>3</v>
      </c>
      <c r="M2" s="11">
        <v>4</v>
      </c>
      <c r="N2" s="75">
        <v>5</v>
      </c>
      <c r="O2" s="13">
        <v>6</v>
      </c>
      <c r="P2" s="14">
        <v>7</v>
      </c>
      <c r="Q2" s="75">
        <v>8</v>
      </c>
      <c r="R2" s="12">
        <v>9</v>
      </c>
      <c r="S2" s="11">
        <v>10</v>
      </c>
      <c r="T2" s="75">
        <v>11</v>
      </c>
      <c r="U2" s="13">
        <v>12</v>
      </c>
      <c r="V2" s="1"/>
      <c r="W2" s="1"/>
      <c r="X2" s="1"/>
      <c r="Y2" s="1"/>
      <c r="Z2" s="1"/>
      <c r="AA2" s="1"/>
    </row>
    <row r="3" spans="1:29" ht="39" thickBot="1" x14ac:dyDescent="0.25">
      <c r="A3" s="8" t="s">
        <v>5</v>
      </c>
      <c r="B3" s="15" t="s">
        <v>58</v>
      </c>
      <c r="C3" s="16" t="s">
        <v>78</v>
      </c>
      <c r="D3" s="16" t="s">
        <v>59</v>
      </c>
      <c r="E3" s="16" t="s">
        <v>60</v>
      </c>
      <c r="F3" s="16" t="s">
        <v>61</v>
      </c>
      <c r="G3" s="16" t="s">
        <v>77</v>
      </c>
      <c r="H3" s="17" t="s">
        <v>6</v>
      </c>
      <c r="I3" s="18" t="s">
        <v>7</v>
      </c>
      <c r="J3" s="79" t="s">
        <v>55</v>
      </c>
      <c r="K3" s="76" t="s">
        <v>56</v>
      </c>
      <c r="L3" s="107" t="s">
        <v>57</v>
      </c>
      <c r="M3" s="21" t="s">
        <v>55</v>
      </c>
      <c r="N3" s="92" t="s">
        <v>56</v>
      </c>
      <c r="O3" s="21" t="s">
        <v>57</v>
      </c>
      <c r="P3" s="19" t="s">
        <v>55</v>
      </c>
      <c r="Q3" s="92" t="s">
        <v>56</v>
      </c>
      <c r="R3" s="100" t="s">
        <v>57</v>
      </c>
      <c r="S3" s="21" t="s">
        <v>55</v>
      </c>
      <c r="T3" s="20" t="s">
        <v>56</v>
      </c>
      <c r="U3" s="108" t="s">
        <v>57</v>
      </c>
      <c r="V3" s="22" t="s">
        <v>8</v>
      </c>
      <c r="W3" s="23" t="s">
        <v>9</v>
      </c>
      <c r="X3" s="24" t="s">
        <v>10</v>
      </c>
      <c r="Y3" s="25" t="s">
        <v>5</v>
      </c>
      <c r="Z3" s="25" t="s">
        <v>11</v>
      </c>
      <c r="AA3" s="26" t="s">
        <v>12</v>
      </c>
    </row>
    <row r="4" spans="1:29" ht="16.5" thickBot="1" x14ac:dyDescent="0.25">
      <c r="A4" s="111" t="s">
        <v>62</v>
      </c>
      <c r="B4" s="27"/>
      <c r="C4" s="28">
        <v>4</v>
      </c>
      <c r="D4" s="28">
        <v>3</v>
      </c>
      <c r="E4" s="28">
        <v>4</v>
      </c>
      <c r="F4" s="28">
        <v>0</v>
      </c>
      <c r="G4" s="28" t="s">
        <v>14</v>
      </c>
      <c r="H4" s="29"/>
      <c r="I4" s="30"/>
      <c r="J4" s="80" t="s">
        <v>15</v>
      </c>
      <c r="K4" s="88"/>
      <c r="L4" s="102"/>
      <c r="M4" s="77"/>
      <c r="N4" s="90"/>
      <c r="O4" s="40"/>
      <c r="P4" s="41"/>
      <c r="Q4" s="93"/>
      <c r="R4" s="82"/>
      <c r="S4" s="77"/>
      <c r="T4" s="106"/>
      <c r="U4" s="38"/>
      <c r="V4" s="31">
        <f>IF(B4+C4&gt;0,B4*$B$24+C4*$C$24+$D$24*D4/(B4+C4)+$E$24*E4/(B4+C4),0)</f>
        <v>87.5</v>
      </c>
      <c r="W4" s="32">
        <f>IF(H4="x",$H$24,0)+IF(I4="x",$I$24,0)</f>
        <v>0</v>
      </c>
      <c r="X4" s="33">
        <f>300*COUNTIF(J4:U4,"ou")+200*COUNTIF(J4:U4,"pt")+100*COUNTIF(J4:U4,"br")+300*COUNTIF(J4:U4,"ou_pt")+300*COUNTIF(J4:U4,"ou_br")+200*COUNTIF(J4:U4,"pt_br")+300*COUNTIF(J4:U4,"ou_pt_br")</f>
        <v>300</v>
      </c>
      <c r="Y4" s="34" t="str">
        <f>A4</f>
        <v>Primeira Igreja Batista Aliança</v>
      </c>
      <c r="Z4" s="35">
        <f>IF(C4&gt;0,SUM(V4:X4),"")</f>
        <v>387.5</v>
      </c>
      <c r="AA4" s="36">
        <f t="shared" ref="AA4:AA22" si="0">IFERROR(_xlfn.RANK.EQ(Z4,Z$4:Z$22,0),"")</f>
        <v>6</v>
      </c>
    </row>
    <row r="5" spans="1:29" ht="16.5" thickBot="1" x14ac:dyDescent="0.25">
      <c r="A5" s="112" t="s">
        <v>25</v>
      </c>
      <c r="B5" s="37"/>
      <c r="C5" s="38">
        <v>4</v>
      </c>
      <c r="D5" s="38">
        <v>0</v>
      </c>
      <c r="E5" s="38">
        <v>4</v>
      </c>
      <c r="F5" s="38">
        <v>0</v>
      </c>
      <c r="G5" s="38"/>
      <c r="H5" s="39"/>
      <c r="I5" s="40"/>
      <c r="J5" s="80"/>
      <c r="K5" s="88"/>
      <c r="L5" s="102"/>
      <c r="M5" s="77" t="s">
        <v>15</v>
      </c>
      <c r="N5" s="90"/>
      <c r="O5" s="40"/>
      <c r="P5" s="109"/>
      <c r="Q5" s="93"/>
      <c r="R5" s="82"/>
      <c r="S5" s="77"/>
      <c r="T5" s="96"/>
      <c r="U5" s="38"/>
      <c r="V5" s="42">
        <f>IF(B5+C5&gt;0,B5*$B$24+C5*$C$24+$D$24*D5/(B5+C5)+$E$24*E5/(B5+C5)+IF(G5="x",$G$24,0),0)</f>
        <v>50</v>
      </c>
      <c r="W5" s="43">
        <f>IF(H5="x",$H$24,0)+IF(I5="x",$I$24,0)</f>
        <v>0</v>
      </c>
      <c r="X5" s="44">
        <f>300*COUNTIF(J5:U5,"ou")+200*COUNTIF(J5:U5,"pt")+100*COUNTIF(J5:U5,"br")+300*COUNTIF(J5:U5,"ou_pt")+300*COUNTIF(J5:U5,"ou_br")+200*COUNTIF(J5:U5,"pt_br")+300*COUNTIF(J5:U5,"ou_pt_br")</f>
        <v>300</v>
      </c>
      <c r="Y5" s="45" t="str">
        <f>A5</f>
        <v>Igreja Batista do Ibes</v>
      </c>
      <c r="Z5" s="46">
        <f>IF(C5&gt;0,SUM(V5:X5),"")</f>
        <v>350</v>
      </c>
      <c r="AA5" s="47">
        <f t="shared" si="0"/>
        <v>7</v>
      </c>
    </row>
    <row r="6" spans="1:29" ht="16.5" thickBot="1" x14ac:dyDescent="0.25">
      <c r="A6" s="113" t="s">
        <v>63</v>
      </c>
      <c r="B6" s="49"/>
      <c r="C6" s="50">
        <v>5</v>
      </c>
      <c r="D6" s="50">
        <v>5</v>
      </c>
      <c r="E6" s="50">
        <v>4</v>
      </c>
      <c r="F6" s="50">
        <v>0</v>
      </c>
      <c r="G6" s="50" t="s">
        <v>14</v>
      </c>
      <c r="H6" s="51"/>
      <c r="I6" s="52"/>
      <c r="J6" s="81"/>
      <c r="K6" s="89"/>
      <c r="L6" s="103"/>
      <c r="M6" s="78"/>
      <c r="N6" s="91"/>
      <c r="O6" s="52" t="s">
        <v>18</v>
      </c>
      <c r="P6" s="110"/>
      <c r="Q6" s="78"/>
      <c r="R6" s="83"/>
      <c r="S6" s="78"/>
      <c r="T6" s="97"/>
      <c r="U6" s="50"/>
      <c r="V6" s="54">
        <f>IF(B6+C6&gt;0,B6*$B$24+C6*$C$24+$D$24*D6/(B6+C6)+$E$24*E6/(B6+C6)+IF(G6="x",$G$24,0),0)</f>
        <v>240</v>
      </c>
      <c r="W6" s="55">
        <f>IF(H6="x",$H$24,0)+IF(I6="x",$I$24,0)</f>
        <v>0</v>
      </c>
      <c r="X6" s="56">
        <f>300*COUNTIF(J6:U6,"ou")+200*COUNTIF(J6:U6,"pt")+100*COUNTIF(J6:U6,"br")+300*COUNTIF(J6:U6,"ou_pt")+300*COUNTIF(J6:U6,"ou_br")+200*COUNTIF(J6:U6,"pt_br")+300*COUNTIF(J6:U6,"ou_pt_br")</f>
        <v>200</v>
      </c>
      <c r="Y6" s="57" t="str">
        <f>A6</f>
        <v>Igreja Batista da Glória</v>
      </c>
      <c r="Z6" s="58">
        <f>IF(C6&gt;0,SUM(V6:X6),"")</f>
        <v>440</v>
      </c>
      <c r="AA6" s="59">
        <f t="shared" si="0"/>
        <v>5</v>
      </c>
    </row>
    <row r="7" spans="1:29" ht="16.5" thickBot="1" x14ac:dyDescent="0.25">
      <c r="A7" s="112" t="s">
        <v>64</v>
      </c>
      <c r="B7" s="37"/>
      <c r="C7" s="38">
        <v>2</v>
      </c>
      <c r="D7" s="38">
        <v>1</v>
      </c>
      <c r="E7" s="38">
        <v>2</v>
      </c>
      <c r="F7" s="38">
        <v>0</v>
      </c>
      <c r="G7" s="38"/>
      <c r="H7" s="39"/>
      <c r="I7" s="40"/>
      <c r="J7" s="80"/>
      <c r="K7" s="88"/>
      <c r="L7" s="102"/>
      <c r="M7" s="77"/>
      <c r="N7" s="90"/>
      <c r="O7" s="40"/>
      <c r="P7" s="41"/>
      <c r="Q7" s="93"/>
      <c r="R7" s="82"/>
      <c r="S7" s="77"/>
      <c r="T7" s="96"/>
      <c r="U7" s="38"/>
      <c r="V7" s="42">
        <f>IF(B7+C7&gt;0,B7*$B$24+C7*$C$24+$D$24*D7/(B7+C7)+$E$24*E7/(B7+C7)+IF(G7="x",$G$24,0),0)</f>
        <v>75</v>
      </c>
      <c r="W7" s="43">
        <f>IF(H7="x",$H$24,0)+IF(I7="x",$I$24,0)</f>
        <v>0</v>
      </c>
      <c r="X7" s="44">
        <f>300*COUNTIF(J7:U7,"ou")+200*COUNTIF(J7:U7,"pt")+100*COUNTIF(J7:U7,"br")+300*COUNTIF(J7:U7,"ou_pt")+300*COUNTIF(J7:U7,"ou_br")+200*COUNTIF(J7:U7,"pt_br")+300*COUNTIF(J7:U7,"ou_pt_br")</f>
        <v>0</v>
      </c>
      <c r="Y7" s="45" t="str">
        <f>A7</f>
        <v>Igreja da Orla</v>
      </c>
      <c r="Z7" s="46">
        <f>IF(C7&gt;0,SUM(V7:X7),"")</f>
        <v>75</v>
      </c>
      <c r="AA7" s="47">
        <f t="shared" si="0"/>
        <v>14</v>
      </c>
    </row>
    <row r="8" spans="1:29" ht="16.5" thickBot="1" x14ac:dyDescent="0.25">
      <c r="A8" s="113" t="s">
        <v>65</v>
      </c>
      <c r="B8" s="49"/>
      <c r="C8" s="50">
        <v>2</v>
      </c>
      <c r="D8" s="50">
        <v>2</v>
      </c>
      <c r="E8" s="50">
        <v>2</v>
      </c>
      <c r="F8" s="50">
        <v>0</v>
      </c>
      <c r="G8" s="50" t="s">
        <v>14</v>
      </c>
      <c r="H8" s="51"/>
      <c r="I8" s="52" t="s">
        <v>14</v>
      </c>
      <c r="J8" s="81"/>
      <c r="K8" s="89"/>
      <c r="L8" s="103"/>
      <c r="M8" s="78"/>
      <c r="N8" s="91"/>
      <c r="O8" s="52"/>
      <c r="P8" s="53"/>
      <c r="Q8" s="94"/>
      <c r="R8" s="83"/>
      <c r="S8" s="78"/>
      <c r="T8" s="97"/>
      <c r="U8" s="50"/>
      <c r="V8" s="54">
        <f>IF(B8+C8&gt;0,B8*$B$24+C8*$C$24+$D$24*D8/(B8+C8)+$E$24*E8/(B8+C8)+IF(G8="x",$G$24,0),0)</f>
        <v>250</v>
      </c>
      <c r="W8" s="55">
        <f>IF(H8="x",$H$24,0)+IF(I8="x",$I$24,0)</f>
        <v>-200</v>
      </c>
      <c r="X8" s="56">
        <f>300*COUNTIF(J8:U8,"ou")+200*COUNTIF(J8:U8,"pt")+100*COUNTIF(J8:U8,"br")+300*COUNTIF(J8:U8,"ou_pt")+300*COUNTIF(J8:U8,"ou_br")+200*COUNTIF(J8:U8,"pt_br")+300*COUNTIF(J8:U8,"ou_pt_br")</f>
        <v>0</v>
      </c>
      <c r="Y8" s="57" t="str">
        <f>A8</f>
        <v>Vila Batista</v>
      </c>
      <c r="Z8" s="58">
        <f>IF(C8&gt;0,SUM(V8:X8),"")</f>
        <v>50</v>
      </c>
      <c r="AA8" s="59">
        <f t="shared" si="0"/>
        <v>16</v>
      </c>
    </row>
    <row r="9" spans="1:29" ht="16.5" thickBot="1" x14ac:dyDescent="0.25">
      <c r="A9" s="112" t="s">
        <v>28</v>
      </c>
      <c r="B9" s="37"/>
      <c r="C9" s="38">
        <v>9</v>
      </c>
      <c r="D9" s="38">
        <v>9</v>
      </c>
      <c r="E9" s="38">
        <v>9</v>
      </c>
      <c r="F9" s="38">
        <v>0</v>
      </c>
      <c r="G9" s="38" t="s">
        <v>14</v>
      </c>
      <c r="H9" s="39"/>
      <c r="I9" s="40"/>
      <c r="J9" s="80"/>
      <c r="K9" s="88"/>
      <c r="L9" s="102"/>
      <c r="M9" s="77"/>
      <c r="N9" s="90"/>
      <c r="O9" s="40"/>
      <c r="P9" s="41"/>
      <c r="Q9" s="93" t="s">
        <v>22</v>
      </c>
      <c r="R9" s="82"/>
      <c r="S9" s="77"/>
      <c r="T9" s="96"/>
      <c r="U9" s="38"/>
      <c r="V9" s="42">
        <f>IF(B9+C9&gt;0,B9*$B$24+C9*$C$24+$D$24*D9/(B9+C9)+$E$24*E9/(B9+C9)+IF(G9="x",$G$24,0),0)</f>
        <v>250</v>
      </c>
      <c r="W9" s="43">
        <f>IF(H9="x",$H$24,0)+IF(I9="x",$I$24,0)</f>
        <v>0</v>
      </c>
      <c r="X9" s="44">
        <f>300*COUNTIF(J9:U9,"ou")+200*COUNTIF(J9:U9,"pt")+100*COUNTIF(J9:U9,"br")+300*COUNTIF(J9:U9,"ou_pt")+300*COUNTIF(J9:U9,"ou_br")+200*COUNTIF(J9:U9,"pt_br")+300*COUNTIF(J9:U9,"ou_pt_br")</f>
        <v>100</v>
      </c>
      <c r="Y9" s="45" t="str">
        <f>A9</f>
        <v>PIB Aribiri</v>
      </c>
      <c r="Z9" s="46">
        <f>IF(C9&gt;0,SUM(V9:X9),"")</f>
        <v>350</v>
      </c>
      <c r="AA9" s="47">
        <f t="shared" si="0"/>
        <v>7</v>
      </c>
    </row>
    <row r="10" spans="1:29" ht="26.25" thickBot="1" x14ac:dyDescent="0.25">
      <c r="A10" s="113" t="s">
        <v>66</v>
      </c>
      <c r="B10" s="49"/>
      <c r="C10" s="50">
        <v>8</v>
      </c>
      <c r="D10" s="50">
        <v>7</v>
      </c>
      <c r="E10" s="50">
        <v>8</v>
      </c>
      <c r="F10" s="50">
        <v>0</v>
      </c>
      <c r="G10" s="50"/>
      <c r="H10" s="51"/>
      <c r="I10" s="52"/>
      <c r="J10" s="81"/>
      <c r="K10" s="89"/>
      <c r="L10" s="103"/>
      <c r="M10" s="78"/>
      <c r="N10" s="91"/>
      <c r="O10" s="52"/>
      <c r="P10" s="53"/>
      <c r="Q10" s="94"/>
      <c r="R10" s="83"/>
      <c r="S10" s="78"/>
      <c r="T10" s="97" t="s">
        <v>22</v>
      </c>
      <c r="U10" s="50"/>
      <c r="V10" s="54">
        <f>IF(B10+C10&gt;0,B10*$B$24+C10*$C$24+$D$24*D10/(B10+C10)+$E$24*E10/(B10+C10)+IF(G10="x",$G$24,0),0)</f>
        <v>93.75</v>
      </c>
      <c r="W10" s="55">
        <f>IF(H10="x",$H$24,0)+IF(I10="x",$I$24,0)</f>
        <v>0</v>
      </c>
      <c r="X10" s="56">
        <f>300*COUNTIF(J10:U10,"ou")+200*COUNTIF(J10:U10,"pt")+100*COUNTIF(J10:U10,"br")+300*COUNTIF(J10:U10,"ou_pt")+300*COUNTIF(J10:U10,"ou_br")+200*COUNTIF(J10:U10,"pt_br")+300*COUNTIF(J10:U10,"ou_pt_br")</f>
        <v>100</v>
      </c>
      <c r="Y10" s="57" t="str">
        <f>A10</f>
        <v>Primeira Igreja Batista em Vila Garrido</v>
      </c>
      <c r="Z10" s="58">
        <f>IF(C10&gt;0,SUM(V10:X10),"")</f>
        <v>193.75</v>
      </c>
      <c r="AA10" s="59">
        <f t="shared" si="0"/>
        <v>11</v>
      </c>
    </row>
    <row r="11" spans="1:29" ht="16.5" thickBot="1" x14ac:dyDescent="0.25">
      <c r="A11" s="112" t="s">
        <v>67</v>
      </c>
      <c r="B11" s="37"/>
      <c r="C11" s="38">
        <v>5</v>
      </c>
      <c r="D11" s="38">
        <v>1</v>
      </c>
      <c r="E11" s="38">
        <v>5</v>
      </c>
      <c r="F11" s="38">
        <v>0</v>
      </c>
      <c r="G11" s="38" t="s">
        <v>14</v>
      </c>
      <c r="H11" s="39"/>
      <c r="I11" s="40" t="s">
        <v>14</v>
      </c>
      <c r="J11" s="80"/>
      <c r="K11" s="88"/>
      <c r="L11" s="102" t="s">
        <v>22</v>
      </c>
      <c r="M11" s="77"/>
      <c r="N11" s="90"/>
      <c r="O11" s="40"/>
      <c r="P11" s="41"/>
      <c r="Q11" s="93"/>
      <c r="R11" s="82"/>
      <c r="S11" s="77"/>
      <c r="T11" s="96"/>
      <c r="U11" s="38"/>
      <c r="V11" s="42">
        <f>IF(B11+C11&gt;0,B11*$B$24+C11*$C$24+$D$24*D11/(B11+C11)+$E$24*E11/(B11+C11)+IF(G11="x",$G$24,0),0)</f>
        <v>210</v>
      </c>
      <c r="W11" s="43">
        <f>IF(H11="x",$H$24,0)+IF(I11="x",$I$24,0)</f>
        <v>-200</v>
      </c>
      <c r="X11" s="44">
        <f>300*COUNTIF(J11:U11,"ou")+200*COUNTIF(J11:U11,"pt")+100*COUNTIF(J11:U11,"br")+300*COUNTIF(J11:U11,"ou_pt")+300*COUNTIF(J11:U11,"ou_br")+200*COUNTIF(J11:U11,"pt_br")+300*COUNTIF(J11:U11,"ou_pt_br")</f>
        <v>100</v>
      </c>
      <c r="Y11" s="45" t="str">
        <f>A11</f>
        <v>Novo México</v>
      </c>
      <c r="Z11" s="46">
        <f>IF(C11&gt;0,SUM(V11:X11),"")</f>
        <v>110</v>
      </c>
      <c r="AA11" s="47">
        <f t="shared" si="0"/>
        <v>12</v>
      </c>
      <c r="AC11" s="60"/>
    </row>
    <row r="12" spans="1:29" ht="16.5" thickBot="1" x14ac:dyDescent="0.25">
      <c r="A12" s="113" t="s">
        <v>68</v>
      </c>
      <c r="B12" s="49"/>
      <c r="C12" s="50">
        <v>10</v>
      </c>
      <c r="D12" s="50">
        <v>10</v>
      </c>
      <c r="E12" s="50">
        <v>10</v>
      </c>
      <c r="F12" s="50">
        <v>1</v>
      </c>
      <c r="G12" s="50" t="s">
        <v>14</v>
      </c>
      <c r="H12" s="51"/>
      <c r="I12" s="52"/>
      <c r="J12" s="81"/>
      <c r="K12" s="89"/>
      <c r="L12" s="103"/>
      <c r="M12" s="78"/>
      <c r="N12" s="91"/>
      <c r="O12" s="52"/>
      <c r="P12" s="53" t="s">
        <v>26</v>
      </c>
      <c r="Q12" s="94"/>
      <c r="R12" s="83"/>
      <c r="S12" s="78"/>
      <c r="T12" s="97"/>
      <c r="U12" s="50" t="s">
        <v>18</v>
      </c>
      <c r="V12" s="54">
        <f>IF(B12+C12&gt;0,B12*$B$24+C12*$C$24+$D$24*D12/(B12+C12)+$E$24*E12/(B12+C12)+IF(G12="x",$G$24,0),0)</f>
        <v>250</v>
      </c>
      <c r="W12" s="55">
        <f>IF(H12="x",$H$24,0)+IF(I12="x",$I$24,0)</f>
        <v>0</v>
      </c>
      <c r="X12" s="56">
        <f>300*COUNTIF(J12:U12,"ou")+200*COUNTIF(J12:U12,"pt")+100*COUNTIF(J12:U12,"br")+300*COUNTIF(J12:U12,"ou_pt")+300*COUNTIF(J12:U12,"ou_br")+200*COUNTIF(J12:U12,"pt_br")+300*COUNTIF(J12:U12,"ou_pt_br")</f>
        <v>500</v>
      </c>
      <c r="Y12" s="57" t="str">
        <f>A12</f>
        <v>Igreja Batista de Santa Rita</v>
      </c>
      <c r="Z12" s="58">
        <f>IF(C12&gt;0,SUM(V12:X12),"")</f>
        <v>750</v>
      </c>
      <c r="AA12" s="59">
        <f t="shared" si="0"/>
        <v>3</v>
      </c>
    </row>
    <row r="13" spans="1:29" ht="26.25" thickBot="1" x14ac:dyDescent="0.25">
      <c r="A13" s="112" t="s">
        <v>69</v>
      </c>
      <c r="B13" s="37"/>
      <c r="C13" s="38">
        <v>13</v>
      </c>
      <c r="D13" s="38">
        <v>13</v>
      </c>
      <c r="E13" s="38">
        <v>13</v>
      </c>
      <c r="F13" s="38">
        <v>1</v>
      </c>
      <c r="G13" s="38"/>
      <c r="H13" s="39"/>
      <c r="I13" s="40"/>
      <c r="J13" s="80"/>
      <c r="K13" s="88"/>
      <c r="L13" s="102"/>
      <c r="M13" s="77"/>
      <c r="N13" s="90"/>
      <c r="O13" s="40"/>
      <c r="P13" s="41"/>
      <c r="Q13" s="93"/>
      <c r="R13" s="82"/>
      <c r="S13" s="77"/>
      <c r="T13" s="96"/>
      <c r="U13" s="38"/>
      <c r="V13" s="42">
        <f>IF(B13+C13&gt;0,B13*$B$24+C13*$C$24+$D$24*D13/(B13+C13)+$E$24*E13/(B13+C13)+IF(G13="x",$G$24,0),0)</f>
        <v>100</v>
      </c>
      <c r="W13" s="43">
        <f>IF(H13="x",$H$24,0)+IF(I13="x",$I$24,0)</f>
        <v>0</v>
      </c>
      <c r="X13" s="44">
        <f>300*COUNTIF(J13:U13,"ou")+200*COUNTIF(J13:U13,"pt")+100*COUNTIF(J13:U13,"br")+300*COUNTIF(J13:U13,"ou_pt")+300*COUNTIF(J13:U13,"ou_br")+200*COUNTIF(J13:U13,"pt_br")+300*COUNTIF(J13:U13,"ou_pt_br")</f>
        <v>0</v>
      </c>
      <c r="Y13" s="45" t="str">
        <f>A13</f>
        <v>Primeira igreja Batista 23 de maio</v>
      </c>
      <c r="Z13" s="46">
        <f>IF(C13&gt;0,SUM(V13:X13),"")</f>
        <v>100</v>
      </c>
      <c r="AA13" s="47">
        <f t="shared" si="0"/>
        <v>13</v>
      </c>
    </row>
    <row r="14" spans="1:29" ht="16.5" thickBot="1" x14ac:dyDescent="0.25">
      <c r="A14" s="113" t="s">
        <v>70</v>
      </c>
      <c r="B14" s="49"/>
      <c r="C14" s="50">
        <v>7</v>
      </c>
      <c r="D14" s="50">
        <v>1</v>
      </c>
      <c r="E14" s="50">
        <v>7</v>
      </c>
      <c r="F14" s="50">
        <v>0</v>
      </c>
      <c r="G14" s="50"/>
      <c r="H14" s="51"/>
      <c r="I14" s="52"/>
      <c r="J14" s="81"/>
      <c r="K14" s="89"/>
      <c r="L14" s="103"/>
      <c r="M14" s="78"/>
      <c r="N14" s="91"/>
      <c r="O14" s="52"/>
      <c r="P14" s="53"/>
      <c r="Q14" s="94"/>
      <c r="R14" s="83"/>
      <c r="S14" s="78"/>
      <c r="T14" s="97"/>
      <c r="U14" s="50"/>
      <c r="V14" s="54">
        <f>IF(B14+C14&gt;0,B14*$B$24+C14*$C$24+$D$24*D14/(B14+C14)+$E$24*E14/(B14+C14)+IF(G14="x",$G$24,0),0)</f>
        <v>57.142857142857146</v>
      </c>
      <c r="W14" s="55">
        <f>IF(H14="x",$H$24,0)+IF(I14="x",$I$24,0)</f>
        <v>0</v>
      </c>
      <c r="X14" s="56">
        <f>300*COUNTIF(J14:U14,"ou")+200*COUNTIF(J14:U14,"pt")+100*COUNTIF(J14:U14,"br")+300*COUNTIF(J14:U14,"ou_pt")+300*COUNTIF(J14:U14,"ou_br")+200*COUNTIF(J14:U14,"pt_br")+300*COUNTIF(J14:U14,"ou_pt_br")</f>
        <v>0</v>
      </c>
      <c r="Y14" s="57" t="str">
        <f>A14</f>
        <v>batista Guaranhuns</v>
      </c>
      <c r="Z14" s="58">
        <f>IF(C14&gt;0,SUM(V14:X14),"")</f>
        <v>57.142857142857146</v>
      </c>
      <c r="AA14" s="59">
        <f t="shared" si="0"/>
        <v>15</v>
      </c>
    </row>
    <row r="15" spans="1:29" ht="26.25" thickBot="1" x14ac:dyDescent="0.25">
      <c r="A15" s="112" t="s">
        <v>71</v>
      </c>
      <c r="B15" s="37"/>
      <c r="C15" s="38">
        <v>8</v>
      </c>
      <c r="D15" s="38">
        <v>8</v>
      </c>
      <c r="E15" s="38">
        <v>8</v>
      </c>
      <c r="F15" s="38">
        <v>0</v>
      </c>
      <c r="G15" s="38"/>
      <c r="H15" s="39"/>
      <c r="I15" s="40"/>
      <c r="J15" s="80"/>
      <c r="K15" s="88" t="s">
        <v>18</v>
      </c>
      <c r="L15" s="102"/>
      <c r="M15" s="77"/>
      <c r="N15" s="90" t="s">
        <v>22</v>
      </c>
      <c r="O15" s="40"/>
      <c r="P15" s="41"/>
      <c r="Q15" s="93"/>
      <c r="R15" s="82"/>
      <c r="S15" s="77"/>
      <c r="T15" s="96" t="s">
        <v>18</v>
      </c>
      <c r="U15" s="38" t="s">
        <v>18</v>
      </c>
      <c r="V15" s="42">
        <f>IF(B15+C15&gt;0,B15*$B$24+C15*$C$24+$D$24*D15/(B15+C15)+$E$24*E15/(B15+C15)+IF(G15="x",$G$24,0),0)</f>
        <v>100</v>
      </c>
      <c r="W15" s="43">
        <f>IF(H15="x",$H$24,0)+IF(I15="x",$I$24,0)</f>
        <v>0</v>
      </c>
      <c r="X15" s="44">
        <f>300*COUNTIF(J15:U15,"ou")+200*COUNTIF(J15:U15,"pt")+100*COUNTIF(J15:U15,"br")+300*COUNTIF(J15:U15,"ou_pt")+300*COUNTIF(J15:U15,"ou_br")+200*COUNTIF(J15:U15,"pt_br")+300*COUNTIF(J15:U15,"ou_pt_br")</f>
        <v>700</v>
      </c>
      <c r="Y15" s="45" t="str">
        <f>A15</f>
        <v>Primeira Igreja Batista em João Goulart (PIBJG)</v>
      </c>
      <c r="Z15" s="46">
        <f>IF(C15&gt;0,SUM(V15:X15),"")</f>
        <v>800</v>
      </c>
      <c r="AA15" s="47">
        <f t="shared" si="0"/>
        <v>2</v>
      </c>
    </row>
    <row r="16" spans="1:29" ht="26.25" thickBot="1" x14ac:dyDescent="0.25">
      <c r="A16" s="113" t="s">
        <v>72</v>
      </c>
      <c r="B16" s="37"/>
      <c r="C16" s="50"/>
      <c r="D16" s="50"/>
      <c r="E16" s="50"/>
      <c r="F16" s="50"/>
      <c r="G16" s="50"/>
      <c r="H16" s="51"/>
      <c r="I16" s="52"/>
      <c r="J16" s="81"/>
      <c r="K16" s="89"/>
      <c r="L16" s="103"/>
      <c r="M16" s="78"/>
      <c r="N16" s="91"/>
      <c r="O16" s="52"/>
      <c r="P16" s="53"/>
      <c r="Q16" s="94"/>
      <c r="R16" s="83"/>
      <c r="S16" s="78"/>
      <c r="T16" s="97"/>
      <c r="U16" s="50"/>
      <c r="V16" s="54">
        <f>IF(B16+C16&gt;0,B16*$B$24+C16*$C$24+$D$24*D16/(B16+C16)+$E$24*E16/(B16+C16)+IF(G16="x",$G$24,0),0)</f>
        <v>0</v>
      </c>
      <c r="W16" s="55">
        <f>IF(H16="x",$H$24,0)+IF(I16="x",$I$24,0)</f>
        <v>0</v>
      </c>
      <c r="X16" s="56">
        <f>300*COUNTIF(J16:U16,"ou")+200*COUNTIF(J16:U16,"pt")+100*COUNTIF(J16:U16,"br")+300*COUNTIF(J16:U16,"ou_pt")+300*COUNTIF(J16:U16,"ou_br")+200*COUNTIF(J16:U16,"pt_br")+300*COUNTIF(J16:U16,"ou_pt_br")</f>
        <v>0</v>
      </c>
      <c r="Y16" s="45" t="str">
        <f>A16</f>
        <v>Primeira Igreja Batista em Brunellas</v>
      </c>
      <c r="Z16" s="46" t="str">
        <f>IF(C16&gt;0,SUM(V16:X16),"")</f>
        <v/>
      </c>
      <c r="AA16" s="47" t="str">
        <f t="shared" si="0"/>
        <v/>
      </c>
    </row>
    <row r="17" spans="1:27" ht="16.5" thickBot="1" x14ac:dyDescent="0.25">
      <c r="A17" s="112" t="s">
        <v>73</v>
      </c>
      <c r="B17" s="37"/>
      <c r="C17" s="38">
        <v>9</v>
      </c>
      <c r="D17" s="38">
        <v>9</v>
      </c>
      <c r="E17" s="38">
        <v>9</v>
      </c>
      <c r="F17" s="38">
        <v>1</v>
      </c>
      <c r="G17" s="38"/>
      <c r="H17" s="39"/>
      <c r="I17" s="40"/>
      <c r="J17" s="80"/>
      <c r="K17" s="88"/>
      <c r="L17" s="102"/>
      <c r="M17" s="77"/>
      <c r="N17" s="90"/>
      <c r="O17" s="40"/>
      <c r="P17" s="41"/>
      <c r="Q17" s="93"/>
      <c r="R17" s="82"/>
      <c r="S17" s="77" t="s">
        <v>22</v>
      </c>
      <c r="T17" s="96"/>
      <c r="U17" s="38"/>
      <c r="V17" s="42">
        <f>IF(B17+C17&gt;0,B17*$B$24+C17*$C$24+$D$24*D17/(B17+C17)+$E$24*E17/(B17+C17)+IF(G17="x",$G$24,0),0)</f>
        <v>100</v>
      </c>
      <c r="W17" s="43">
        <f>IF(H17="x",$H$24,0)+IF(I17="x",$I$24,0)</f>
        <v>0</v>
      </c>
      <c r="X17" s="44">
        <f>300*COUNTIF(J17:U17,"ou")+200*COUNTIF(J17:U17,"pt")+100*COUNTIF(J17:U17,"br")+300*COUNTIF(J17:U17,"ou_pt")+300*COUNTIF(J17:U17,"ou_br")+200*COUNTIF(J17:U17,"pt_br")+300*COUNTIF(J17:U17,"ou_pt_br")</f>
        <v>100</v>
      </c>
      <c r="Y17" s="45" t="str">
        <f>A17</f>
        <v>Pib Cobilandia</v>
      </c>
      <c r="Z17" s="46">
        <f>IF(C17&gt;0,SUM(V17:X17),"")</f>
        <v>200</v>
      </c>
      <c r="AA17" s="47">
        <f t="shared" si="0"/>
        <v>9</v>
      </c>
    </row>
    <row r="18" spans="1:27" ht="26.25" thickBot="1" x14ac:dyDescent="0.25">
      <c r="A18" s="113" t="s">
        <v>74</v>
      </c>
      <c r="B18" s="37"/>
      <c r="C18" s="50">
        <v>10</v>
      </c>
      <c r="D18" s="50">
        <v>10</v>
      </c>
      <c r="E18" s="50">
        <v>10</v>
      </c>
      <c r="F18" s="50">
        <v>0</v>
      </c>
      <c r="G18" s="50"/>
      <c r="H18" s="51"/>
      <c r="I18" s="52"/>
      <c r="J18" s="81"/>
      <c r="K18" s="89"/>
      <c r="L18" s="103"/>
      <c r="M18" s="78"/>
      <c r="N18" s="91"/>
      <c r="O18" s="52"/>
      <c r="P18" s="53"/>
      <c r="Q18" s="94"/>
      <c r="R18" s="83" t="s">
        <v>22</v>
      </c>
      <c r="S18" s="78"/>
      <c r="T18" s="97"/>
      <c r="U18" s="50"/>
      <c r="V18" s="54">
        <f>IF(B18+C18&gt;0,B18*$B$24+C18*$C$24+$D$24*D18/(B18+C18)+$E$24*E18/(B18+C18)+IF(G18="x",$G$24,0),0)</f>
        <v>100</v>
      </c>
      <c r="W18" s="55">
        <f>IF(H18="x",$H$24,0)+IF(I18="x",$I$24,0)</f>
        <v>0</v>
      </c>
      <c r="X18" s="56">
        <f>300*COUNTIF(J18:U18,"ou")+200*COUNTIF(J18:U18,"pt")+100*COUNTIF(J18:U18,"br")+300*COUNTIF(J18:U18,"ou_pt")+300*COUNTIF(J18:U18,"ou_br")+200*COUNTIF(J18:U18,"pt_br")+300*COUNTIF(J18:U18,"ou_pt_br")</f>
        <v>100</v>
      </c>
      <c r="Y18" s="45" t="str">
        <f>A18</f>
        <v>Primeira igreja Batista em Alvorada</v>
      </c>
      <c r="Z18" s="46">
        <f>IF(C18&gt;0,SUM(V18:X18),"")</f>
        <v>200</v>
      </c>
      <c r="AA18" s="47">
        <f t="shared" si="0"/>
        <v>9</v>
      </c>
    </row>
    <row r="19" spans="1:27" ht="16.5" thickBot="1" x14ac:dyDescent="0.25">
      <c r="A19" s="112" t="s">
        <v>75</v>
      </c>
      <c r="B19" s="37"/>
      <c r="C19" s="38">
        <v>15</v>
      </c>
      <c r="D19" s="38">
        <v>15</v>
      </c>
      <c r="E19" s="38">
        <v>15</v>
      </c>
      <c r="F19" s="38">
        <v>0</v>
      </c>
      <c r="G19" s="38" t="s">
        <v>14</v>
      </c>
      <c r="H19" s="39"/>
      <c r="I19" s="40" t="s">
        <v>14</v>
      </c>
      <c r="J19" s="80"/>
      <c r="K19" s="88"/>
      <c r="L19" s="102"/>
      <c r="M19" s="77"/>
      <c r="N19" s="90" t="s">
        <v>18</v>
      </c>
      <c r="O19" s="40" t="s">
        <v>34</v>
      </c>
      <c r="P19" s="41" t="s">
        <v>22</v>
      </c>
      <c r="Q19" s="93" t="s">
        <v>26</v>
      </c>
      <c r="R19" s="82"/>
      <c r="S19" s="77"/>
      <c r="T19" s="96"/>
      <c r="U19" s="38" t="s">
        <v>15</v>
      </c>
      <c r="V19" s="42">
        <f>IF(B19+C19&gt;0,B19*$B$24+C19*$C$24+$D$24*D19/(B19+C19)+$E$24*E19/(B19+C19)+IF(G19="x",$G$24,0),0)</f>
        <v>250</v>
      </c>
      <c r="W19" s="43">
        <f>IF(H19="x",$H$24,0)+IF(I19="x",$I$24,0)</f>
        <v>-200</v>
      </c>
      <c r="X19" s="44">
        <f>300*COUNTIF(J19:U19,"ou")+200*COUNTIF(J19:U19,"pt")+100*COUNTIF(J19:U19,"br")+300*COUNTIF(J19:U19,"ou_pt")+300*COUNTIF(J19:U19,"ou_br")+200*COUNTIF(J19:U19,"pt_br")+300*COUNTIF(J19:U19,"ou_pt_br")</f>
        <v>1200</v>
      </c>
      <c r="Y19" s="45" t="str">
        <f>A19</f>
        <v>Pib Cocal</v>
      </c>
      <c r="Z19" s="46">
        <f>IF(C19&gt;0,SUM(V19:X19),"")</f>
        <v>1250</v>
      </c>
      <c r="AA19" s="47">
        <f t="shared" si="0"/>
        <v>1</v>
      </c>
    </row>
    <row r="20" spans="1:27" ht="16.5" thickBot="1" x14ac:dyDescent="0.25">
      <c r="A20" s="114" t="s">
        <v>76</v>
      </c>
      <c r="B20" s="37"/>
      <c r="C20" s="50">
        <v>15</v>
      </c>
      <c r="D20" s="50">
        <v>15</v>
      </c>
      <c r="E20" s="50">
        <v>15</v>
      </c>
      <c r="F20" s="50">
        <v>2</v>
      </c>
      <c r="G20" s="50"/>
      <c r="H20" s="51"/>
      <c r="I20" s="52" t="s">
        <v>14</v>
      </c>
      <c r="J20" s="81"/>
      <c r="K20" s="89"/>
      <c r="L20" s="103"/>
      <c r="M20" s="78"/>
      <c r="N20" s="91" t="s">
        <v>15</v>
      </c>
      <c r="O20" s="52"/>
      <c r="P20" s="53"/>
      <c r="Q20" s="94"/>
      <c r="R20" s="83"/>
      <c r="S20" s="78"/>
      <c r="T20" s="97" t="s">
        <v>15</v>
      </c>
      <c r="U20" s="50"/>
      <c r="V20" s="54">
        <f>IF(B20+C20&gt;0,B20*$B$24+C20*$C$24+$D$24*D20/(B20+C20)+$E$24*E20/(B20+C20)+IF(G20="x",$G$24,0),0)</f>
        <v>100</v>
      </c>
      <c r="W20" s="55">
        <f>IF(H20="x",$H$24,0)+IF(I20="x",$I$24,0)</f>
        <v>-200</v>
      </c>
      <c r="X20" s="56">
        <f>300*COUNTIF(J20:U20,"ou")+200*COUNTIF(J20:U20,"pt")+100*COUNTIF(J20:U20,"br")+300*COUNTIF(J20:U20,"ou_pt")+300*COUNTIF(J20:U20,"ou_br")+200*COUNTIF(J20:U20,"pt_br")+300*COUNTIF(J20:U20,"ou_pt_br")</f>
        <v>600</v>
      </c>
      <c r="Y20" s="45" t="str">
        <f>A20</f>
        <v>Igreja batista de Santa Mônica</v>
      </c>
      <c r="Z20" s="46">
        <f>IF(C20&gt;0,SUM(V20:X20),"")</f>
        <v>500</v>
      </c>
      <c r="AA20" s="47">
        <f t="shared" si="0"/>
        <v>4</v>
      </c>
    </row>
    <row r="21" spans="1:27" ht="15.75" x14ac:dyDescent="0.2">
      <c r="A21" s="48"/>
      <c r="B21" s="49"/>
      <c r="C21" s="38"/>
      <c r="D21" s="38"/>
      <c r="E21" s="38"/>
      <c r="F21" s="38"/>
      <c r="G21" s="38"/>
      <c r="H21" s="39"/>
      <c r="I21" s="40"/>
      <c r="J21" s="80"/>
      <c r="K21" s="88"/>
      <c r="L21" s="102"/>
      <c r="M21" s="77"/>
      <c r="N21" s="90"/>
      <c r="O21" s="40"/>
      <c r="P21" s="41"/>
      <c r="Q21" s="93"/>
      <c r="R21" s="82"/>
      <c r="S21" s="77"/>
      <c r="T21" s="96"/>
      <c r="U21" s="38"/>
      <c r="V21" s="42"/>
      <c r="W21" s="43"/>
      <c r="X21" s="44"/>
      <c r="Y21" s="45"/>
      <c r="Z21" s="58"/>
      <c r="AA21" s="59"/>
    </row>
    <row r="22" spans="1:27" ht="16.5" thickBot="1" x14ac:dyDescent="0.25">
      <c r="A22" s="61"/>
      <c r="B22" s="62"/>
      <c r="C22" s="50"/>
      <c r="D22" s="50"/>
      <c r="E22" s="50"/>
      <c r="F22" s="50"/>
      <c r="G22" s="50"/>
      <c r="H22" s="51"/>
      <c r="I22" s="52"/>
      <c r="J22" s="98"/>
      <c r="K22" s="99"/>
      <c r="L22" s="104"/>
      <c r="M22" s="101"/>
      <c r="N22" s="91"/>
      <c r="O22" s="52"/>
      <c r="P22" s="53"/>
      <c r="Q22" s="95"/>
      <c r="R22" s="83"/>
      <c r="S22" s="101"/>
      <c r="T22" s="97"/>
      <c r="U22" s="50"/>
      <c r="V22" s="54">
        <f>IF(B22+C22&gt;0,B22*$B$24+C22*$C$24+$D$24*D22/(B22+C22)+$E$24*E22/(B22+C22)+IF(G22="x",$G$24,0),0)</f>
        <v>0</v>
      </c>
      <c r="W22" s="55">
        <f>IF(H22="x",$H$24,0)+IF(I22="x",$I$24,0)</f>
        <v>0</v>
      </c>
      <c r="X22" s="56">
        <f>300*COUNTIF(J22:U22,"ou")+200*COUNTIF(J22:U22,"pt")+100*COUNTIF(J22:U22,"br")+300*COUNTIF(J22:U22,"ou_pt")+300*COUNTIF(J22:U22,"ou_br")+200*COUNTIF(J22:U22,"pt_br")+300*COUNTIF(J22:U22,"ou_pt_br")</f>
        <v>0</v>
      </c>
      <c r="Y22" s="63">
        <f>A22</f>
        <v>0</v>
      </c>
      <c r="Z22" s="64" t="str">
        <f>IF(C22&gt;0,SUM(V22:X22),"")</f>
        <v/>
      </c>
      <c r="AA22" s="65" t="str">
        <f t="shared" si="0"/>
        <v/>
      </c>
    </row>
    <row r="23" spans="1:27" ht="13.5" thickBot="1" x14ac:dyDescent="0.25">
      <c r="A23" s="66" t="s">
        <v>11</v>
      </c>
      <c r="B23" s="67"/>
      <c r="C23" s="68">
        <f>SUM(C4:C22)</f>
        <v>126</v>
      </c>
      <c r="D23" s="69">
        <f>IFERROR(SUM(D4:D22)/C23,0)</f>
        <v>0.86507936507936511</v>
      </c>
      <c r="E23" s="69">
        <f>IFERROR(SUM(E4:E22)/C23,0)</f>
        <v>0.99206349206349209</v>
      </c>
      <c r="F23" s="68">
        <f>SUM(F4:F22)</f>
        <v>5</v>
      </c>
      <c r="G23" s="70" t="s">
        <v>37</v>
      </c>
      <c r="H23" s="71" t="s">
        <v>37</v>
      </c>
      <c r="I23" s="70" t="s">
        <v>37</v>
      </c>
      <c r="J23" s="87">
        <f t="shared" ref="J23:S23" si="1">300*COUNTIF(J4:J22,"ou")+200*COUNTIF(J4:J22,"pt")+100*COUNTIF(J4:J22,"br")+500*COUNTIF(J4:J22,"ou_pt")+400*COUNTIF(J4:J22,"ou_br")+300*COUNTIF(J4:J22,"pt_br")+600*COUNTIF(J4:J22,"ou_pt_br")</f>
        <v>300</v>
      </c>
      <c r="K23" s="86">
        <f t="shared" si="1"/>
        <v>200</v>
      </c>
      <c r="L23" s="105">
        <f t="shared" si="1"/>
        <v>100</v>
      </c>
      <c r="M23" s="70">
        <f t="shared" si="1"/>
        <v>300</v>
      </c>
      <c r="N23" s="71">
        <f t="shared" si="1"/>
        <v>600</v>
      </c>
      <c r="O23" s="68">
        <f t="shared" si="1"/>
        <v>600</v>
      </c>
      <c r="P23" s="72">
        <f t="shared" si="1"/>
        <v>600</v>
      </c>
      <c r="Q23" s="68">
        <f t="shared" si="1"/>
        <v>600</v>
      </c>
      <c r="R23" s="9">
        <f t="shared" si="1"/>
        <v>100</v>
      </c>
      <c r="S23" s="68">
        <f t="shared" si="1"/>
        <v>100</v>
      </c>
      <c r="T23" s="68">
        <f t="shared" ref="T23" si="2">300*COUNTIF(T4:T22,"ou")+200*COUNTIF(T4:T22,"pt")+100*COUNTIF(T4:T22,"br")+500*COUNTIF(T4:T22,"ou_pt")+400*COUNTIF(T4:T22,"ou_br")+300*COUNTIF(T4:T22,"pt_br")+600*COUNTIF(T4:T22,"ou_pt_br")</f>
        <v>600</v>
      </c>
      <c r="U23" s="68">
        <f t="shared" ref="U23" si="3">300*COUNTIF(U4:U22,"ou")+200*COUNTIF(U4:U22,"pt")+100*COUNTIF(U4:U22,"br")+500*COUNTIF(U4:U22,"ou_pt")+400*COUNTIF(U4:U22,"ou_br")+300*COUNTIF(U4:U22,"pt_br")+600*COUNTIF(U4:U22,"ou_pt_br")</f>
        <v>700</v>
      </c>
    </row>
    <row r="24" spans="1:27" ht="12.75" customHeight="1" x14ac:dyDescent="0.2">
      <c r="A24" s="73" t="s">
        <v>38</v>
      </c>
      <c r="B24" s="74">
        <v>100</v>
      </c>
      <c r="C24" s="74">
        <v>0</v>
      </c>
      <c r="D24" s="74">
        <v>50</v>
      </c>
      <c r="E24" s="74">
        <v>50</v>
      </c>
      <c r="F24" s="74">
        <v>10</v>
      </c>
      <c r="G24" s="74">
        <v>150</v>
      </c>
      <c r="H24" s="74">
        <v>0</v>
      </c>
      <c r="I24" s="74">
        <v>-200</v>
      </c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Y24" s="6" t="s">
        <v>52</v>
      </c>
    </row>
  </sheetData>
  <mergeCells count="7">
    <mergeCell ref="V1:AA2"/>
    <mergeCell ref="J1:L1"/>
    <mergeCell ref="M1:O1"/>
    <mergeCell ref="P1:R1"/>
    <mergeCell ref="S1:U1"/>
    <mergeCell ref="B1:G2"/>
    <mergeCell ref="H1:I2"/>
  </mergeCells>
  <conditionalFormatting sqref="B4:B22">
    <cfRule type="expression" dxfId="3" priority="2">
      <formula>$C4&gt;#REF!</formula>
    </cfRule>
  </conditionalFormatting>
  <conditionalFormatting sqref="C4:C22">
    <cfRule type="expression" dxfId="2" priority="5">
      <formula>$B4&gt;#REF!</formula>
    </cfRule>
  </conditionalFormatting>
  <conditionalFormatting sqref="C5:C22">
    <cfRule type="expression" dxfId="1" priority="3">
      <formula>$C5&gt;#REF!</formula>
    </cfRule>
  </conditionalFormatting>
  <conditionalFormatting sqref="J23:U23">
    <cfRule type="cellIs" dxfId="0" priority="4" operator="notEqual">
      <formula>600</formula>
    </cfRule>
  </conditionalFormatting>
  <dataValidations count="4">
    <dataValidation type="decimal" operator="greaterThanOrEqual" allowBlank="1" showErrorMessage="1" sqref="C4:F22" xr:uid="{00000000-0002-0000-0000-000000000000}">
      <formula1>0</formula1>
      <formula2>0</formula2>
    </dataValidation>
    <dataValidation type="list" allowBlank="1" showInputMessage="1" showErrorMessage="1" prompt="Utilize um &quot;X&quot; para indicar o cometimento de infração!" sqref="G4:I22" xr:uid="{00000000-0002-0000-0000-000001000000}">
      <formula1>"x"</formula1>
      <formula2>0</formula2>
    </dataValidation>
    <dataValidation type="list" allowBlank="1" showInputMessage="1" showErrorMessage="1" sqref="B4:B22" xr:uid="{00000000-0002-0000-0000-000002000000}">
      <formula1>"pg,isento"</formula1>
      <formula2>0</formula2>
    </dataValidation>
    <dataValidation type="list" allowBlank="1" showInputMessage="1" showErrorMessage="1" prompt="Valores possíveis:_x000a_- OU (ouro)_x000a_- PT (prata)_x000a_- BR (bronze)_x000a__x000a_Ou também as combinações entre esses valores." sqref="J4:U22" xr:uid="{00000000-0002-0000-0000-000003000000}">
      <formula1>"OU,PT,BR,OU_PT,OU_BR,OU_PT_BR,PT_BR"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="140" zoomScaleNormal="140" workbookViewId="0"/>
  </sheetViews>
  <sheetFormatPr defaultColWidth="11.5703125" defaultRowHeight="12.75" x14ac:dyDescent="0.2"/>
  <cols>
    <col min="1" max="1" width="16.5703125" customWidth="1"/>
  </cols>
  <sheetData>
    <row r="1" spans="1:3" x14ac:dyDescent="0.2">
      <c r="A1" t="s">
        <v>5</v>
      </c>
      <c r="B1" t="s">
        <v>11</v>
      </c>
      <c r="C1" t="s">
        <v>12</v>
      </c>
    </row>
    <row r="2" spans="1:3" x14ac:dyDescent="0.2">
      <c r="A2" t="s">
        <v>39</v>
      </c>
      <c r="B2">
        <v>2957.89473684211</v>
      </c>
      <c r="C2">
        <v>1</v>
      </c>
    </row>
    <row r="3" spans="1:3" x14ac:dyDescent="0.2">
      <c r="A3" t="s">
        <v>40</v>
      </c>
      <c r="B3">
        <v>1650</v>
      </c>
      <c r="C3">
        <v>2</v>
      </c>
    </row>
    <row r="4" spans="1:3" x14ac:dyDescent="0.2">
      <c r="A4" t="s">
        <v>17</v>
      </c>
      <c r="B4">
        <v>1400</v>
      </c>
      <c r="C4">
        <v>3</v>
      </c>
    </row>
    <row r="5" spans="1:3" x14ac:dyDescent="0.2">
      <c r="A5" t="s">
        <v>41</v>
      </c>
      <c r="B5">
        <v>1269.23076923077</v>
      </c>
      <c r="C5">
        <v>4</v>
      </c>
    </row>
    <row r="6" spans="1:3" x14ac:dyDescent="0.2">
      <c r="A6" t="s">
        <v>42</v>
      </c>
      <c r="B6">
        <v>1240</v>
      </c>
      <c r="C6">
        <v>5</v>
      </c>
    </row>
    <row r="7" spans="1:3" x14ac:dyDescent="0.2">
      <c r="A7" t="s">
        <v>43</v>
      </c>
      <c r="B7">
        <v>1125</v>
      </c>
      <c r="C7">
        <v>6</v>
      </c>
    </row>
    <row r="8" spans="1:3" x14ac:dyDescent="0.2">
      <c r="A8" t="s">
        <v>44</v>
      </c>
      <c r="B8">
        <v>1120</v>
      </c>
      <c r="C8">
        <v>7</v>
      </c>
    </row>
    <row r="9" spans="1:3" x14ac:dyDescent="0.2">
      <c r="A9" t="s">
        <v>45</v>
      </c>
      <c r="B9">
        <v>1100</v>
      </c>
      <c r="C9">
        <v>8</v>
      </c>
    </row>
    <row r="10" spans="1:3" x14ac:dyDescent="0.2">
      <c r="A10" t="s">
        <v>46</v>
      </c>
      <c r="B10">
        <v>1050</v>
      </c>
      <c r="C10">
        <v>9</v>
      </c>
    </row>
    <row r="11" spans="1:3" x14ac:dyDescent="0.2">
      <c r="A11" t="s">
        <v>47</v>
      </c>
      <c r="B11">
        <v>1040</v>
      </c>
      <c r="C11">
        <v>10</v>
      </c>
    </row>
    <row r="12" spans="1:3" x14ac:dyDescent="0.2">
      <c r="A12" t="s">
        <v>48</v>
      </c>
      <c r="B12">
        <v>830</v>
      </c>
      <c r="C12">
        <v>11</v>
      </c>
    </row>
    <row r="13" spans="1:3" x14ac:dyDescent="0.2">
      <c r="A13" t="s">
        <v>49</v>
      </c>
      <c r="B13">
        <v>700</v>
      </c>
      <c r="C13">
        <v>12</v>
      </c>
    </row>
    <row r="14" spans="1:3" x14ac:dyDescent="0.2">
      <c r="A14" t="s">
        <v>50</v>
      </c>
      <c r="B14">
        <v>700</v>
      </c>
      <c r="C14">
        <v>12</v>
      </c>
    </row>
    <row r="15" spans="1:3" x14ac:dyDescent="0.2">
      <c r="A15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zoomScale="140" zoomScaleNormal="140" workbookViewId="0">
      <selection activeCell="D1" sqref="D1"/>
    </sheetView>
  </sheetViews>
  <sheetFormatPr defaultColWidth="11.5703125" defaultRowHeight="12.75" x14ac:dyDescent="0.2"/>
  <sheetData>
    <row r="1" spans="1:4" x14ac:dyDescent="0.2">
      <c r="A1" t="s">
        <v>13</v>
      </c>
      <c r="B1">
        <v>1225</v>
      </c>
      <c r="C1">
        <v>2</v>
      </c>
      <c r="D1" t="s">
        <v>51</v>
      </c>
    </row>
    <row r="2" spans="1:4" x14ac:dyDescent="0.2">
      <c r="A2" t="s">
        <v>16</v>
      </c>
      <c r="B2">
        <v>600</v>
      </c>
      <c r="C2">
        <v>10</v>
      </c>
    </row>
    <row r="3" spans="1:4" x14ac:dyDescent="0.2">
      <c r="A3" t="s">
        <v>17</v>
      </c>
      <c r="B3">
        <v>840</v>
      </c>
      <c r="C3">
        <v>6</v>
      </c>
    </row>
    <row r="4" spans="1:4" x14ac:dyDescent="0.2">
      <c r="A4" t="s">
        <v>19</v>
      </c>
      <c r="B4">
        <v>450</v>
      </c>
      <c r="C4">
        <v>15</v>
      </c>
    </row>
    <row r="5" spans="1:4" x14ac:dyDescent="0.2">
      <c r="A5" t="s">
        <v>20</v>
      </c>
      <c r="B5">
        <v>800</v>
      </c>
      <c r="C5">
        <v>7</v>
      </c>
    </row>
    <row r="6" spans="1:4" x14ac:dyDescent="0.2">
      <c r="A6" t="s">
        <v>21</v>
      </c>
      <c r="B6">
        <v>800</v>
      </c>
      <c r="C6">
        <v>7</v>
      </c>
    </row>
    <row r="7" spans="1:4" x14ac:dyDescent="0.2">
      <c r="A7" t="s">
        <v>23</v>
      </c>
      <c r="B7">
        <v>662.5</v>
      </c>
      <c r="C7">
        <v>9</v>
      </c>
    </row>
    <row r="8" spans="1:4" x14ac:dyDescent="0.2">
      <c r="A8" t="s">
        <v>24</v>
      </c>
      <c r="B8">
        <v>560</v>
      </c>
      <c r="C8">
        <v>14</v>
      </c>
    </row>
    <row r="9" spans="1:4" x14ac:dyDescent="0.2">
      <c r="A9" t="s">
        <v>25</v>
      </c>
      <c r="B9">
        <v>1200</v>
      </c>
      <c r="C9">
        <v>3</v>
      </c>
    </row>
    <row r="10" spans="1:4" x14ac:dyDescent="0.2">
      <c r="A10" t="s">
        <v>27</v>
      </c>
      <c r="B10">
        <v>600</v>
      </c>
      <c r="C10">
        <v>10</v>
      </c>
    </row>
    <row r="11" spans="1:4" x14ac:dyDescent="0.2">
      <c r="A11" t="s">
        <v>28</v>
      </c>
      <c r="B11">
        <v>342.857142857143</v>
      </c>
      <c r="C11">
        <v>16</v>
      </c>
    </row>
    <row r="12" spans="1:4" x14ac:dyDescent="0.2">
      <c r="A12" t="s">
        <v>29</v>
      </c>
      <c r="B12">
        <v>1200</v>
      </c>
      <c r="C12">
        <v>3</v>
      </c>
    </row>
    <row r="13" spans="1:4" x14ac:dyDescent="0.2">
      <c r="A13" t="s">
        <v>30</v>
      </c>
    </row>
    <row r="14" spans="1:4" x14ac:dyDescent="0.2">
      <c r="A14" t="s">
        <v>31</v>
      </c>
      <c r="B14">
        <v>600</v>
      </c>
      <c r="C14">
        <v>10</v>
      </c>
    </row>
    <row r="15" spans="1:4" x14ac:dyDescent="0.2">
      <c r="A15" t="s">
        <v>32</v>
      </c>
      <c r="B15">
        <v>600</v>
      </c>
      <c r="C15">
        <v>10</v>
      </c>
    </row>
    <row r="16" spans="1:4" x14ac:dyDescent="0.2">
      <c r="A16" t="s">
        <v>33</v>
      </c>
      <c r="B16">
        <v>1800</v>
      </c>
      <c r="C16">
        <v>1</v>
      </c>
      <c r="D16">
        <v>1</v>
      </c>
    </row>
    <row r="17" spans="1:3" x14ac:dyDescent="0.2">
      <c r="A17" t="s">
        <v>35</v>
      </c>
      <c r="B17">
        <v>1100</v>
      </c>
      <c r="C17">
        <v>5</v>
      </c>
    </row>
    <row r="18" spans="1:3" x14ac:dyDescent="0.2">
      <c r="A18" t="s">
        <v>36</v>
      </c>
      <c r="B18">
        <v>300</v>
      </c>
      <c r="C18">
        <v>17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Gincana</vt:lpstr>
      <vt:lpstr>Planilha2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WEVERSON FERRARI</dc:creator>
  <dc:description/>
  <cp:lastModifiedBy>Ana Paula</cp:lastModifiedBy>
  <cp:revision>4</cp:revision>
  <dcterms:created xsi:type="dcterms:W3CDTF">2023-05-30T13:30:18Z</dcterms:created>
  <dcterms:modified xsi:type="dcterms:W3CDTF">2026-04-10T20:51:28Z</dcterms:modified>
  <dc:language>pt-BR</dc:language>
</cp:coreProperties>
</file>